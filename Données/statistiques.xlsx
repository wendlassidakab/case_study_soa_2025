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https://d.docs.live.net/899f22709df67f5e/Bureau/Wendeka Risk/portofolio/case_study_soa_2025/Données/"/>
    </mc:Choice>
  </mc:AlternateContent>
  <xr:revisionPtr revIDLastSave="243" documentId="11_F25DC773A252ABDACC1048A0E99A40FA5BDE58F3" xr6:coauthVersionLast="47" xr6:coauthVersionMax="47" xr10:uidLastSave="{0327DC93-545F-4C10-9BFB-C4E801604793}"/>
  <bookViews>
    <workbookView xWindow="-98" yWindow="-98" windowWidth="21795" windowHeight="12975" activeTab="2" xr2:uid="{00000000-000D-0000-FFFF-FFFF00000000}"/>
  </bookViews>
  <sheets>
    <sheet name="Population" sheetId="1" r:id="rId1"/>
    <sheet name="Logement" sheetId="2" r:id="rId2"/>
    <sheet name="Economi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3" l="1"/>
  <c r="O4" i="3"/>
  <c r="P4" i="3"/>
  <c r="N5" i="3"/>
  <c r="O5" i="3"/>
  <c r="P5" i="3"/>
  <c r="N6" i="3"/>
  <c r="O6" i="3"/>
  <c r="P6" i="3"/>
  <c r="N7" i="3"/>
  <c r="O7" i="3"/>
  <c r="P7" i="3"/>
  <c r="M5" i="3"/>
  <c r="M6" i="3"/>
  <c r="M7" i="3"/>
  <c r="M4" i="3"/>
  <c r="L3" i="3"/>
  <c r="L4" i="3"/>
  <c r="L5" i="3"/>
  <c r="L6" i="3"/>
  <c r="L7" i="3"/>
  <c r="J3" i="3"/>
  <c r="K3" i="3"/>
  <c r="J4" i="3"/>
  <c r="K4" i="3"/>
  <c r="J5" i="3"/>
  <c r="K5" i="3"/>
  <c r="J6" i="3"/>
  <c r="K6" i="3"/>
  <c r="J7" i="3"/>
  <c r="K7" i="3"/>
  <c r="I4" i="3"/>
  <c r="I5" i="3"/>
  <c r="I6" i="3"/>
  <c r="I7" i="3"/>
  <c r="I3" i="3"/>
  <c r="M3" i="2"/>
  <c r="N3" i="2"/>
  <c r="M4" i="2"/>
  <c r="N4" i="2"/>
  <c r="M5" i="2"/>
  <c r="N5" i="2"/>
  <c r="M6" i="2"/>
  <c r="N6" i="2"/>
  <c r="M7" i="2"/>
  <c r="N7" i="2"/>
  <c r="M8" i="2"/>
  <c r="N8" i="2"/>
  <c r="M9" i="2"/>
  <c r="N9" i="2"/>
  <c r="M10" i="2"/>
  <c r="N10" i="2"/>
  <c r="M11" i="2"/>
  <c r="N11" i="2"/>
  <c r="L4" i="2"/>
  <c r="L5" i="2"/>
  <c r="L6" i="2"/>
  <c r="L7" i="2"/>
  <c r="L8" i="2"/>
  <c r="L9" i="2"/>
  <c r="L10" i="2"/>
  <c r="L11" i="2"/>
  <c r="L3" i="2"/>
  <c r="L2" i="2" a="1"/>
  <c r="L2" i="2" s="1"/>
  <c r="H3" i="2"/>
  <c r="I3" i="2"/>
  <c r="H4" i="2"/>
  <c r="I4" i="2"/>
  <c r="H5" i="2"/>
  <c r="I5" i="2"/>
  <c r="H6" i="2"/>
  <c r="I6" i="2"/>
  <c r="H7" i="2"/>
  <c r="I7" i="2"/>
  <c r="H8" i="2"/>
  <c r="I8" i="2"/>
  <c r="H9" i="2"/>
  <c r="I9" i="2"/>
  <c r="H10" i="2"/>
  <c r="I10" i="2"/>
  <c r="H11" i="2"/>
  <c r="I11" i="2"/>
  <c r="G4" i="2"/>
  <c r="G5" i="2"/>
  <c r="G6" i="2"/>
  <c r="G7" i="2"/>
  <c r="G8" i="2"/>
  <c r="G9" i="2"/>
  <c r="G10" i="2"/>
  <c r="G11" i="2"/>
  <c r="G3" i="2"/>
  <c r="F4" i="2"/>
  <c r="F5" i="2"/>
  <c r="F6" i="2"/>
  <c r="F7" i="2"/>
  <c r="F8" i="2"/>
  <c r="F9" i="2"/>
  <c r="F10" i="2"/>
  <c r="F11" i="2"/>
  <c r="F3" i="2"/>
  <c r="P5" i="1"/>
  <c r="P6" i="1"/>
  <c r="P7" i="1"/>
  <c r="P4" i="1"/>
  <c r="N4" i="1"/>
  <c r="O4" i="1"/>
  <c r="N5" i="1"/>
  <c r="O5" i="1"/>
  <c r="N6" i="1"/>
  <c r="O6" i="1"/>
  <c r="N7" i="1"/>
  <c r="O7" i="1"/>
  <c r="M5" i="1"/>
  <c r="M6" i="1"/>
  <c r="M7" i="1"/>
  <c r="M4" i="1"/>
  <c r="J3" i="1"/>
  <c r="K3" i="1"/>
  <c r="L3" i="1"/>
  <c r="J4" i="1"/>
  <c r="K4" i="1"/>
  <c r="L4" i="1"/>
  <c r="J5" i="1"/>
  <c r="K5" i="1"/>
  <c r="L5" i="1"/>
  <c r="J6" i="1"/>
  <c r="K6" i="1"/>
  <c r="L6" i="1"/>
  <c r="J7" i="1"/>
  <c r="K7" i="1"/>
  <c r="L7" i="1"/>
  <c r="I4" i="1"/>
  <c r="I5" i="1"/>
  <c r="I6" i="1"/>
  <c r="I7" i="1"/>
  <c r="I3" i="1"/>
  <c r="A12" i="1" a="1"/>
  <c r="A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<sst xmlns="http://schemas.openxmlformats.org/spreadsheetml/2006/main" count="91" uniqueCount="44">
  <si>
    <t>Année</t>
  </si>
  <si>
    <t>Flumevale</t>
  </si>
  <si>
    <t>Lyndrassia</t>
  </si>
  <si>
    <t>Navaldia</t>
  </si>
  <si>
    <t>Tarrodan</t>
  </si>
  <si>
    <t>Nb d'habitants par Km carré</t>
  </si>
  <si>
    <t>Total</t>
  </si>
  <si>
    <t>Type de zone</t>
  </si>
  <si>
    <t>Urbain (&gt; 50 000)</t>
  </si>
  <si>
    <t>Urbain (&lt; 50 000)</t>
  </si>
  <si>
    <t>Rural</t>
  </si>
  <si>
    <t>Valeur du logement</t>
  </si>
  <si>
    <t>&lt; Q50,000</t>
  </si>
  <si>
    <t>Q50,000 – Q99,999</t>
  </si>
  <si>
    <t>Q100,000 – Q149,999</t>
  </si>
  <si>
    <t>Q150,000 – Q199,999</t>
  </si>
  <si>
    <t>Q200,000 – Q299,999</t>
  </si>
  <si>
    <t>Q300,000 – Q499,999</t>
  </si>
  <si>
    <t>Q500,000 – Q999,999</t>
  </si>
  <si>
    <t>≥ Q1,000,000</t>
  </si>
  <si>
    <t>PIB (en Q million)</t>
  </si>
  <si>
    <t>Industrie</t>
  </si>
  <si>
    <t>Agriculture</t>
  </si>
  <si>
    <t>Entertainment</t>
  </si>
  <si>
    <t>Construction</t>
  </si>
  <si>
    <t>Education</t>
  </si>
  <si>
    <t>Finance</t>
  </si>
  <si>
    <t>Information</t>
  </si>
  <si>
    <t>Manufacturing</t>
  </si>
  <si>
    <t>Mining</t>
  </si>
  <si>
    <t>Professional Services</t>
  </si>
  <si>
    <t>Retail</t>
  </si>
  <si>
    <t>Transportation</t>
  </si>
  <si>
    <t>Utilities</t>
  </si>
  <si>
    <t>Trade</t>
  </si>
  <si>
    <t>Government</t>
  </si>
  <si>
    <t>Other</t>
  </si>
  <si>
    <t>Répartition du PIB en 2023</t>
  </si>
  <si>
    <t>Répartition de la population</t>
  </si>
  <si>
    <t>Evolution de la population</t>
  </si>
  <si>
    <t>Répartition de la population selon la valeur du logement</t>
  </si>
  <si>
    <t>En proportion de la population de Tarrodan</t>
  </si>
  <si>
    <t>Répartition du PIB</t>
  </si>
  <si>
    <t>Evolution du PIB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</si>
</sst>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8" formatCode="_-* #,##0_-;\-* #,##0_-;_-*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168" fontId="0" fillId="0" borderId="1" xfId="1" applyNumberFormat="1" applyFont="1" applyBorder="1" applyAlignment="1">
      <alignment horizontal="center" vertical="center" wrapText="1"/>
    </xf>
    <xf numFmtId="0" fontId="0" fillId="0" borderId="1" xfId="0" applyBorder="1"/>
    <xf numFmtId="0" fontId="0" fillId="0" borderId="1" xfId="0" applyBorder="1" applyAlignment="1">
      <alignment vertical="center" wrapText="1"/>
    </xf>
    <xf numFmtId="168" fontId="3" fillId="0" borderId="1" xfId="1"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9" fontId="0" fillId="0" borderId="1" xfId="2" applyFont="1" applyBorder="1" applyAlignment="1">
      <alignment horizontal="center" vertical="center" wrapText="1"/>
    </xf>
    <xf numFmtId="10" fontId="0" fillId="0" borderId="1" xfId="2" applyNumberFormat="1" applyFont="1" applyBorder="1" applyAlignment="1">
      <alignment horizontal="center" vertical="center" wrapText="1"/>
    </xf>
    <xf numFmtId="0" fontId="4" fillId="2" borderId="1" xfId="0" applyFont="1" applyFill="1" applyBorder="1" applyAlignment="1">
      <alignment horizontal="center" vertical="center"/>
    </xf>
    <xf numFmtId="10" fontId="0" fillId="0" borderId="1" xfId="0" applyNumberFormat="1" applyBorder="1" applyAlignment="1">
      <alignment horizontal="right" vertical="center" wrapText="1"/>
    </xf>
    <xf numFmtId="9" fontId="3" fillId="0" borderId="1" xfId="2" applyFont="1" applyBorder="1" applyAlignment="1">
      <alignment horizontal="center" vertical="center" wrapText="1"/>
    </xf>
    <xf numFmtId="0" fontId="2" fillId="2" borderId="3" xfId="0" applyFont="1" applyFill="1" applyBorder="1" applyAlignment="1">
      <alignment horizontal="center"/>
    </xf>
    <xf numFmtId="0" fontId="2" fillId="2" borderId="2" xfId="0" applyFont="1" applyFill="1" applyBorder="1" applyAlignment="1">
      <alignment horizontal="center"/>
    </xf>
    <xf numFmtId="9" fontId="0" fillId="0" borderId="1" xfId="2" applyFont="1" applyBorder="1"/>
  </cellXfs>
  <cellStyles count="3">
    <cellStyle name="Milliers" xfId="1" builtinId="3"/>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fr-FR"/>
              <a:t>Distribution de la population par région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barChart>
        <c:barDir val="col"/>
        <c:grouping val="stacked"/>
        <c:varyColors val="0"/>
        <c:ser>
          <c:idx val="0"/>
          <c:order val="0"/>
          <c:tx>
            <c:strRef>
              <c:f>Population!$A$19</c:f>
              <c:strCache>
                <c:ptCount val="1"/>
                <c:pt idx="0">
                  <c:v>Urbain (&gt; 50 000)</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Population!$B$18:$D$18</c:f>
              <c:strCache>
                <c:ptCount val="3"/>
                <c:pt idx="0">
                  <c:v>Flumevale</c:v>
                </c:pt>
                <c:pt idx="1">
                  <c:v>Lyndrassia</c:v>
                </c:pt>
                <c:pt idx="2">
                  <c:v>Navaldia</c:v>
                </c:pt>
              </c:strCache>
            </c:strRef>
          </c:cat>
          <c:val>
            <c:numRef>
              <c:f>Population!$B$19:$D$19</c:f>
              <c:numCache>
                <c:formatCode>0.00%</c:formatCode>
                <c:ptCount val="3"/>
                <c:pt idx="0">
                  <c:v>0.88200000000000001</c:v>
                </c:pt>
                <c:pt idx="1">
                  <c:v>0.52400000000000002</c:v>
                </c:pt>
                <c:pt idx="2">
                  <c:v>0.38800000000000001</c:v>
                </c:pt>
              </c:numCache>
            </c:numRef>
          </c:val>
          <c:extLst>
            <c:ext xmlns:c16="http://schemas.microsoft.com/office/drawing/2014/chart" uri="{C3380CC4-5D6E-409C-BE32-E72D297353CC}">
              <c16:uniqueId val="{00000000-C200-4E71-A5E4-A691606E26D5}"/>
            </c:ext>
          </c:extLst>
        </c:ser>
        <c:ser>
          <c:idx val="1"/>
          <c:order val="1"/>
          <c:tx>
            <c:strRef>
              <c:f>Population!$A$20</c:f>
              <c:strCache>
                <c:ptCount val="1"/>
                <c:pt idx="0">
                  <c:v>Urbain (&lt; 50 000)</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Population!$B$18:$D$18</c:f>
              <c:strCache>
                <c:ptCount val="3"/>
                <c:pt idx="0">
                  <c:v>Flumevale</c:v>
                </c:pt>
                <c:pt idx="1">
                  <c:v>Lyndrassia</c:v>
                </c:pt>
                <c:pt idx="2">
                  <c:v>Navaldia</c:v>
                </c:pt>
              </c:strCache>
            </c:strRef>
          </c:cat>
          <c:val>
            <c:numRef>
              <c:f>Population!$B$20:$D$20</c:f>
              <c:numCache>
                <c:formatCode>0.00%</c:formatCode>
                <c:ptCount val="3"/>
                <c:pt idx="0">
                  <c:v>5.7000000000000002E-2</c:v>
                </c:pt>
                <c:pt idx="1">
                  <c:v>0.16</c:v>
                </c:pt>
                <c:pt idx="2">
                  <c:v>0.23899999999999999</c:v>
                </c:pt>
              </c:numCache>
            </c:numRef>
          </c:val>
          <c:extLst>
            <c:ext xmlns:c16="http://schemas.microsoft.com/office/drawing/2014/chart" uri="{C3380CC4-5D6E-409C-BE32-E72D297353CC}">
              <c16:uniqueId val="{00000001-C200-4E71-A5E4-A691606E26D5}"/>
            </c:ext>
          </c:extLst>
        </c:ser>
        <c:ser>
          <c:idx val="2"/>
          <c:order val="2"/>
          <c:tx>
            <c:strRef>
              <c:f>Population!$A$21</c:f>
              <c:strCache>
                <c:ptCount val="1"/>
                <c:pt idx="0">
                  <c:v>Rural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Population!$B$18:$D$18</c:f>
              <c:strCache>
                <c:ptCount val="3"/>
                <c:pt idx="0">
                  <c:v>Flumevale</c:v>
                </c:pt>
                <c:pt idx="1">
                  <c:v>Lyndrassia</c:v>
                </c:pt>
                <c:pt idx="2">
                  <c:v>Navaldia</c:v>
                </c:pt>
              </c:strCache>
            </c:strRef>
          </c:cat>
          <c:val>
            <c:numRef>
              <c:f>Population!$B$21:$D$21</c:f>
              <c:numCache>
                <c:formatCode>0.00%</c:formatCode>
                <c:ptCount val="3"/>
                <c:pt idx="0">
                  <c:v>6.0999999999999999E-2</c:v>
                </c:pt>
                <c:pt idx="1">
                  <c:v>0.316</c:v>
                </c:pt>
                <c:pt idx="2">
                  <c:v>0.373</c:v>
                </c:pt>
              </c:numCache>
            </c:numRef>
          </c:val>
          <c:extLst>
            <c:ext xmlns:c16="http://schemas.microsoft.com/office/drawing/2014/chart" uri="{C3380CC4-5D6E-409C-BE32-E72D297353CC}">
              <c16:uniqueId val="{00000002-C200-4E71-A5E4-A691606E26D5}"/>
            </c:ext>
          </c:extLst>
        </c:ser>
        <c:dLbls>
          <c:dLblPos val="ctr"/>
          <c:showLegendKey val="0"/>
          <c:showVal val="1"/>
          <c:showCatName val="0"/>
          <c:showSerName val="0"/>
          <c:showPercent val="0"/>
          <c:showBubbleSize val="0"/>
        </c:dLbls>
        <c:gapWidth val="150"/>
        <c:overlap val="100"/>
        <c:axId val="2078819231"/>
        <c:axId val="2078812991"/>
      </c:barChart>
      <c:catAx>
        <c:axId val="20788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78812991"/>
        <c:crosses val="autoZero"/>
        <c:auto val="1"/>
        <c:lblAlgn val="ctr"/>
        <c:lblOffset val="100"/>
        <c:noMultiLvlLbl val="0"/>
      </c:catAx>
      <c:valAx>
        <c:axId val="2078812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788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Logement!$B$1</c:f>
          <c:strCache>
            <c:ptCount val="1"/>
            <c:pt idx="0">
              <c:v>Répartition de la population selon la valeur du logement</c:v>
            </c:pt>
          </c:strCache>
        </c:strRef>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fr-FR"/>
        </a:p>
      </c:txPr>
    </c:title>
    <c:autoTitleDeleted val="0"/>
    <c:plotArea>
      <c:layout/>
      <c:lineChart>
        <c:grouping val="standard"/>
        <c:varyColors val="0"/>
        <c:ser>
          <c:idx val="0"/>
          <c:order val="0"/>
          <c:tx>
            <c:strRef>
              <c:f>Logement!$F$2</c:f>
              <c:strCache>
                <c:ptCount val="1"/>
                <c:pt idx="0">
                  <c:v>Flumevale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Logement!$A$3:$A$10</c:f>
              <c:strCache>
                <c:ptCount val="8"/>
                <c:pt idx="0">
                  <c:v>&lt; Q50,000</c:v>
                </c:pt>
                <c:pt idx="1">
                  <c:v>Q50,000 – Q99,999</c:v>
                </c:pt>
                <c:pt idx="2">
                  <c:v>Q100,000 – Q149,999</c:v>
                </c:pt>
                <c:pt idx="3">
                  <c:v>Q150,000 – Q199,999</c:v>
                </c:pt>
                <c:pt idx="4">
                  <c:v>Q200,000 – Q299,999</c:v>
                </c:pt>
                <c:pt idx="5">
                  <c:v>Q300,000 – Q499,999</c:v>
                </c:pt>
                <c:pt idx="6">
                  <c:v>Q500,000 – Q999,999</c:v>
                </c:pt>
                <c:pt idx="7">
                  <c:v>≥ Q1,000,000</c:v>
                </c:pt>
              </c:strCache>
            </c:strRef>
          </c:cat>
          <c:val>
            <c:numRef>
              <c:f>Logement!$F$3:$F$10</c:f>
              <c:numCache>
                <c:formatCode>0%</c:formatCode>
                <c:ptCount val="8"/>
                <c:pt idx="0">
                  <c:v>2.8075961968736331E-2</c:v>
                </c:pt>
                <c:pt idx="1">
                  <c:v>3.4699694301846759E-2</c:v>
                </c:pt>
                <c:pt idx="2">
                  <c:v>5.5798397598660558E-2</c:v>
                </c:pt>
                <c:pt idx="3">
                  <c:v>7.6655257455163439E-2</c:v>
                </c:pt>
                <c:pt idx="4">
                  <c:v>0.17160545580700792</c:v>
                </c:pt>
                <c:pt idx="5">
                  <c:v>0.15850134999924581</c:v>
                </c:pt>
                <c:pt idx="6">
                  <c:v>0.3246619973955322</c:v>
                </c:pt>
                <c:pt idx="7">
                  <c:v>0.150001885473807</c:v>
                </c:pt>
              </c:numCache>
            </c:numRef>
          </c:val>
          <c:smooth val="0"/>
          <c:extLst>
            <c:ext xmlns:c16="http://schemas.microsoft.com/office/drawing/2014/chart" uri="{C3380CC4-5D6E-409C-BE32-E72D297353CC}">
              <c16:uniqueId val="{00000000-5E40-437B-8CF2-70E059398B21}"/>
            </c:ext>
          </c:extLst>
        </c:ser>
        <c:ser>
          <c:idx val="1"/>
          <c:order val="1"/>
          <c:tx>
            <c:strRef>
              <c:f>Logement!$G$2</c:f>
              <c:strCache>
                <c:ptCount val="1"/>
                <c:pt idx="0">
                  <c:v>Lyndrassia</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Logement!$A$3:$A$10</c:f>
              <c:strCache>
                <c:ptCount val="8"/>
                <c:pt idx="0">
                  <c:v>&lt; Q50,000</c:v>
                </c:pt>
                <c:pt idx="1">
                  <c:v>Q50,000 – Q99,999</c:v>
                </c:pt>
                <c:pt idx="2">
                  <c:v>Q100,000 – Q149,999</c:v>
                </c:pt>
                <c:pt idx="3">
                  <c:v>Q150,000 – Q199,999</c:v>
                </c:pt>
                <c:pt idx="4">
                  <c:v>Q200,000 – Q299,999</c:v>
                </c:pt>
                <c:pt idx="5">
                  <c:v>Q300,000 – Q499,999</c:v>
                </c:pt>
                <c:pt idx="6">
                  <c:v>Q500,000 – Q999,999</c:v>
                </c:pt>
                <c:pt idx="7">
                  <c:v>≥ Q1,000,000</c:v>
                </c:pt>
              </c:strCache>
            </c:strRef>
          </c:cat>
          <c:val>
            <c:numRef>
              <c:f>Logement!$G$3:$G$10</c:f>
              <c:numCache>
                <c:formatCode>0%</c:formatCode>
                <c:ptCount val="8"/>
                <c:pt idx="0">
                  <c:v>6.9744980592320094E-2</c:v>
                </c:pt>
                <c:pt idx="1">
                  <c:v>0.13983875348708052</c:v>
                </c:pt>
                <c:pt idx="2">
                  <c:v>0.15884574348701988</c:v>
                </c:pt>
                <c:pt idx="3">
                  <c:v>0.15129700186898754</c:v>
                </c:pt>
                <c:pt idx="4">
                  <c:v>0.19285686844497946</c:v>
                </c:pt>
                <c:pt idx="5">
                  <c:v>0.17953199149957774</c:v>
                </c:pt>
                <c:pt idx="6">
                  <c:v>9.0580181452876649E-2</c:v>
                </c:pt>
                <c:pt idx="7">
                  <c:v>1.7304479167158122E-2</c:v>
                </c:pt>
              </c:numCache>
            </c:numRef>
          </c:val>
          <c:smooth val="0"/>
          <c:extLst>
            <c:ext xmlns:c16="http://schemas.microsoft.com/office/drawing/2014/chart" uri="{C3380CC4-5D6E-409C-BE32-E72D297353CC}">
              <c16:uniqueId val="{00000001-5E40-437B-8CF2-70E059398B21}"/>
            </c:ext>
          </c:extLst>
        </c:ser>
        <c:ser>
          <c:idx val="2"/>
          <c:order val="2"/>
          <c:tx>
            <c:strRef>
              <c:f>Logement!$H$2</c:f>
              <c:strCache>
                <c:ptCount val="1"/>
                <c:pt idx="0">
                  <c:v>Navaldia</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Logement!$A$3:$A$10</c:f>
              <c:strCache>
                <c:ptCount val="8"/>
                <c:pt idx="0">
                  <c:v>&lt; Q50,000</c:v>
                </c:pt>
                <c:pt idx="1">
                  <c:v>Q50,000 – Q99,999</c:v>
                </c:pt>
                <c:pt idx="2">
                  <c:v>Q100,000 – Q149,999</c:v>
                </c:pt>
                <c:pt idx="3">
                  <c:v>Q150,000 – Q199,999</c:v>
                </c:pt>
                <c:pt idx="4">
                  <c:v>Q200,000 – Q299,999</c:v>
                </c:pt>
                <c:pt idx="5">
                  <c:v>Q300,000 – Q499,999</c:v>
                </c:pt>
                <c:pt idx="6">
                  <c:v>Q500,000 – Q999,999</c:v>
                </c:pt>
                <c:pt idx="7">
                  <c:v>≥ Q1,000,000</c:v>
                </c:pt>
              </c:strCache>
            </c:strRef>
          </c:cat>
          <c:val>
            <c:numRef>
              <c:f>Logement!$H$3:$H$10</c:f>
              <c:numCache>
                <c:formatCode>0%</c:formatCode>
                <c:ptCount val="8"/>
                <c:pt idx="0">
                  <c:v>5.3370981997693197E-2</c:v>
                </c:pt>
                <c:pt idx="1">
                  <c:v>9.7646347921098303E-2</c:v>
                </c:pt>
                <c:pt idx="2">
                  <c:v>0.13292889178253148</c:v>
                </c:pt>
                <c:pt idx="3">
                  <c:v>0.15350876763088839</c:v>
                </c:pt>
                <c:pt idx="4">
                  <c:v>0.23378023203757337</c:v>
                </c:pt>
                <c:pt idx="5">
                  <c:v>0.19540676166516008</c:v>
                </c:pt>
                <c:pt idx="6">
                  <c:v>0.11184662398244342</c:v>
                </c:pt>
                <c:pt idx="7">
                  <c:v>2.1511392982611763E-2</c:v>
                </c:pt>
              </c:numCache>
            </c:numRef>
          </c:val>
          <c:smooth val="0"/>
          <c:extLst>
            <c:ext xmlns:c16="http://schemas.microsoft.com/office/drawing/2014/chart" uri="{C3380CC4-5D6E-409C-BE32-E72D297353CC}">
              <c16:uniqueId val="{00000002-5E40-437B-8CF2-70E059398B21}"/>
            </c:ext>
          </c:extLst>
        </c:ser>
        <c:ser>
          <c:idx val="3"/>
          <c:order val="3"/>
          <c:tx>
            <c:strRef>
              <c:f>Logement!$I$2</c:f>
              <c:strCache>
                <c:ptCount val="1"/>
                <c:pt idx="0">
                  <c:v>Tarrodan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Logement!$A$3:$A$10</c:f>
              <c:strCache>
                <c:ptCount val="8"/>
                <c:pt idx="0">
                  <c:v>&lt; Q50,000</c:v>
                </c:pt>
                <c:pt idx="1">
                  <c:v>Q50,000 – Q99,999</c:v>
                </c:pt>
                <c:pt idx="2">
                  <c:v>Q100,000 – Q149,999</c:v>
                </c:pt>
                <c:pt idx="3">
                  <c:v>Q150,000 – Q199,999</c:v>
                </c:pt>
                <c:pt idx="4">
                  <c:v>Q200,000 – Q299,999</c:v>
                </c:pt>
                <c:pt idx="5">
                  <c:v>Q300,000 – Q499,999</c:v>
                </c:pt>
                <c:pt idx="6">
                  <c:v>Q500,000 – Q999,999</c:v>
                </c:pt>
                <c:pt idx="7">
                  <c:v>≥ Q1,000,000</c:v>
                </c:pt>
              </c:strCache>
            </c:strRef>
          </c:cat>
          <c:val>
            <c:numRef>
              <c:f>Logement!$I$3:$I$10</c:f>
              <c:numCache>
                <c:formatCode>0%</c:formatCode>
                <c:ptCount val="8"/>
                <c:pt idx="0">
                  <c:v>4.331814213856381E-2</c:v>
                </c:pt>
                <c:pt idx="1">
                  <c:v>7.2751723532564955E-2</c:v>
                </c:pt>
                <c:pt idx="2">
                  <c:v>0.10025137483484796</c:v>
                </c:pt>
                <c:pt idx="3">
                  <c:v>0.11858534685551358</c:v>
                </c:pt>
                <c:pt idx="4">
                  <c:v>0.2022282565313</c:v>
                </c:pt>
                <c:pt idx="5">
                  <c:v>0.17738774135066321</c:v>
                </c:pt>
                <c:pt idx="6">
                  <c:v>0.2062442883882098</c:v>
                </c:pt>
                <c:pt idx="7">
                  <c:v>7.9233126368336709E-2</c:v>
                </c:pt>
              </c:numCache>
            </c:numRef>
          </c:val>
          <c:smooth val="0"/>
          <c:extLst>
            <c:ext xmlns:c16="http://schemas.microsoft.com/office/drawing/2014/chart" uri="{C3380CC4-5D6E-409C-BE32-E72D297353CC}">
              <c16:uniqueId val="{00000003-5E40-437B-8CF2-70E059398B21}"/>
            </c:ext>
          </c:extLst>
        </c:ser>
        <c:dLbls>
          <c:dLblPos val="ctr"/>
          <c:showLegendKey val="0"/>
          <c:showVal val="1"/>
          <c:showCatName val="0"/>
          <c:showSerName val="0"/>
          <c:showPercent val="0"/>
          <c:showBubbleSize val="0"/>
        </c:dLbls>
        <c:marker val="1"/>
        <c:smooth val="0"/>
        <c:axId val="113861264"/>
        <c:axId val="113864176"/>
      </c:lineChart>
      <c:catAx>
        <c:axId val="1138612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fr-FR"/>
          </a:p>
        </c:txPr>
        <c:crossAx val="113864176"/>
        <c:crosses val="autoZero"/>
        <c:auto val="1"/>
        <c:lblAlgn val="ctr"/>
        <c:lblOffset val="100"/>
        <c:noMultiLvlLbl val="0"/>
      </c:catAx>
      <c:valAx>
        <c:axId val="113864176"/>
        <c:scaling>
          <c:orientation val="minMax"/>
        </c:scaling>
        <c:delete val="1"/>
        <c:axPos val="l"/>
        <c:numFmt formatCode="0%" sourceLinked="1"/>
        <c:majorTickMark val="none"/>
        <c:minorTickMark val="none"/>
        <c:tickLblPos val="nextTo"/>
        <c:crossAx val="11386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fr-FR" sz="1400" b="0" i="0" u="none" strike="noStrike" cap="none" baseline="0"/>
              <a:t>Contribution régionale à la population nationale par classe de valeur du logement</a:t>
            </a:r>
            <a:endParaRPr lang="fr-F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barChart>
        <c:barDir val="col"/>
        <c:grouping val="stacked"/>
        <c:varyColors val="0"/>
        <c:ser>
          <c:idx val="0"/>
          <c:order val="0"/>
          <c:tx>
            <c:strRef>
              <c:f>Logement!$L$2</c:f>
              <c:strCache>
                <c:ptCount val="1"/>
                <c:pt idx="0">
                  <c:v>Flumevale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Logement!$K$3:$K$11</c:f>
              <c:strCache>
                <c:ptCount val="9"/>
                <c:pt idx="0">
                  <c:v>&lt; Q50,000</c:v>
                </c:pt>
                <c:pt idx="1">
                  <c:v>Q50,000 – Q99,999</c:v>
                </c:pt>
                <c:pt idx="2">
                  <c:v>Q100,000 – Q149,999</c:v>
                </c:pt>
                <c:pt idx="3">
                  <c:v>Q150,000 – Q199,999</c:v>
                </c:pt>
                <c:pt idx="4">
                  <c:v>Q200,000 – Q299,999</c:v>
                </c:pt>
                <c:pt idx="5">
                  <c:v>Q300,000 – Q499,999</c:v>
                </c:pt>
                <c:pt idx="6">
                  <c:v>Q500,000 – Q999,999</c:v>
                </c:pt>
                <c:pt idx="7">
                  <c:v>≥ Q1,000,000</c:v>
                </c:pt>
                <c:pt idx="8">
                  <c:v>Total</c:v>
                </c:pt>
              </c:strCache>
            </c:strRef>
          </c:cat>
          <c:val>
            <c:numRef>
              <c:f>Logement!$L$3:$L$11</c:f>
              <c:numCache>
                <c:formatCode>0%</c:formatCode>
                <c:ptCount val="9"/>
                <c:pt idx="0">
                  <c:v>0.2929497810680417</c:v>
                </c:pt>
                <c:pt idx="1">
                  <c:v>0.21558111639196012</c:v>
                </c:pt>
                <c:pt idx="2">
                  <c:v>0.2515705181789073</c:v>
                </c:pt>
                <c:pt idx="3">
                  <c:v>0.29217245699474664</c:v>
                </c:pt>
                <c:pt idx="4">
                  <c:v>0.38354613240600194</c:v>
                </c:pt>
                <c:pt idx="5">
                  <c:v>0.40386639327303042</c:v>
                </c:pt>
                <c:pt idx="6">
                  <c:v>0.71150487528332174</c:v>
                </c:pt>
                <c:pt idx="7">
                  <c:v>0.85569359209837093</c:v>
                </c:pt>
                <c:pt idx="8">
                  <c:v>0.45198950867284371</c:v>
                </c:pt>
              </c:numCache>
            </c:numRef>
          </c:val>
          <c:extLst>
            <c:ext xmlns:c16="http://schemas.microsoft.com/office/drawing/2014/chart" uri="{C3380CC4-5D6E-409C-BE32-E72D297353CC}">
              <c16:uniqueId val="{00000000-82FA-40E1-9392-AEF3FB6530F3}"/>
            </c:ext>
          </c:extLst>
        </c:ser>
        <c:ser>
          <c:idx val="1"/>
          <c:order val="1"/>
          <c:tx>
            <c:strRef>
              <c:f>Logement!$M$2</c:f>
              <c:strCache>
                <c:ptCount val="1"/>
                <c:pt idx="0">
                  <c:v>Lyndrassia</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Logement!$K$3:$K$11</c:f>
              <c:strCache>
                <c:ptCount val="9"/>
                <c:pt idx="0">
                  <c:v>&lt; Q50,000</c:v>
                </c:pt>
                <c:pt idx="1">
                  <c:v>Q50,000 – Q99,999</c:v>
                </c:pt>
                <c:pt idx="2">
                  <c:v>Q100,000 – Q149,999</c:v>
                </c:pt>
                <c:pt idx="3">
                  <c:v>Q150,000 – Q199,999</c:v>
                </c:pt>
                <c:pt idx="4">
                  <c:v>Q200,000 – Q299,999</c:v>
                </c:pt>
                <c:pt idx="5">
                  <c:v>Q300,000 – Q499,999</c:v>
                </c:pt>
                <c:pt idx="6">
                  <c:v>Q500,000 – Q999,999</c:v>
                </c:pt>
                <c:pt idx="7">
                  <c:v>≥ Q1,000,000</c:v>
                </c:pt>
                <c:pt idx="8">
                  <c:v>Total</c:v>
                </c:pt>
              </c:strCache>
            </c:strRef>
          </c:cat>
          <c:val>
            <c:numRef>
              <c:f>Logement!$M$3:$M$11</c:f>
              <c:numCache>
                <c:formatCode>0%</c:formatCode>
                <c:ptCount val="9"/>
                <c:pt idx="0">
                  <c:v>0.13572010809867907</c:v>
                </c:pt>
                <c:pt idx="1">
                  <c:v>0.16202622688630694</c:v>
                </c:pt>
                <c:pt idx="2">
                  <c:v>0.13356304316410178</c:v>
                </c:pt>
                <c:pt idx="3">
                  <c:v>0.10754750879748184</c:v>
                </c:pt>
                <c:pt idx="4">
                  <c:v>8.0388575686037855E-2</c:v>
                </c:pt>
                <c:pt idx="5">
                  <c:v>8.5313803752308445E-2</c:v>
                </c:pt>
                <c:pt idx="6">
                  <c:v>3.7021355603132432E-2</c:v>
                </c:pt>
                <c:pt idx="7">
                  <c:v>1.8409958134904061E-2</c:v>
                </c:pt>
                <c:pt idx="8">
                  <c:v>8.4294853676211368E-2</c:v>
                </c:pt>
              </c:numCache>
            </c:numRef>
          </c:val>
          <c:extLst>
            <c:ext xmlns:c16="http://schemas.microsoft.com/office/drawing/2014/chart" uri="{C3380CC4-5D6E-409C-BE32-E72D297353CC}">
              <c16:uniqueId val="{00000001-82FA-40E1-9392-AEF3FB6530F3}"/>
            </c:ext>
          </c:extLst>
        </c:ser>
        <c:ser>
          <c:idx val="2"/>
          <c:order val="2"/>
          <c:tx>
            <c:strRef>
              <c:f>Logement!$N$2</c:f>
              <c:strCache>
                <c:ptCount val="1"/>
                <c:pt idx="0">
                  <c:v>Navaldia</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Logement!$K$3:$K$11</c:f>
              <c:strCache>
                <c:ptCount val="9"/>
                <c:pt idx="0">
                  <c:v>&lt; Q50,000</c:v>
                </c:pt>
                <c:pt idx="1">
                  <c:v>Q50,000 – Q99,999</c:v>
                </c:pt>
                <c:pt idx="2">
                  <c:v>Q100,000 – Q149,999</c:v>
                </c:pt>
                <c:pt idx="3">
                  <c:v>Q150,000 – Q199,999</c:v>
                </c:pt>
                <c:pt idx="4">
                  <c:v>Q200,000 – Q299,999</c:v>
                </c:pt>
                <c:pt idx="5">
                  <c:v>Q300,000 – Q499,999</c:v>
                </c:pt>
                <c:pt idx="6">
                  <c:v>Q500,000 – Q999,999</c:v>
                </c:pt>
                <c:pt idx="7">
                  <c:v>≥ Q1,000,000</c:v>
                </c:pt>
                <c:pt idx="8">
                  <c:v>Total</c:v>
                </c:pt>
              </c:strCache>
            </c:strRef>
          </c:cat>
          <c:val>
            <c:numRef>
              <c:f>Logement!$N$3:$N$11</c:f>
              <c:numCache>
                <c:formatCode>0%</c:formatCode>
                <c:ptCount val="9"/>
                <c:pt idx="0">
                  <c:v>0.57133011083327923</c:v>
                </c:pt>
                <c:pt idx="1">
                  <c:v>0.62239265672173294</c:v>
                </c:pt>
                <c:pt idx="2">
                  <c:v>0.61486643865699087</c:v>
                </c:pt>
                <c:pt idx="3">
                  <c:v>0.60028003420777154</c:v>
                </c:pt>
                <c:pt idx="4">
                  <c:v>0.53606529190796026</c:v>
                </c:pt>
                <c:pt idx="5">
                  <c:v>0.51081980297466112</c:v>
                </c:pt>
                <c:pt idx="6">
                  <c:v>0.2514737691135458</c:v>
                </c:pt>
                <c:pt idx="7">
                  <c:v>0.12589644976672498</c:v>
                </c:pt>
                <c:pt idx="8">
                  <c:v>0.46371563765094492</c:v>
                </c:pt>
              </c:numCache>
            </c:numRef>
          </c:val>
          <c:extLst>
            <c:ext xmlns:c16="http://schemas.microsoft.com/office/drawing/2014/chart" uri="{C3380CC4-5D6E-409C-BE32-E72D297353CC}">
              <c16:uniqueId val="{00000002-82FA-40E1-9392-AEF3FB6530F3}"/>
            </c:ext>
          </c:extLst>
        </c:ser>
        <c:dLbls>
          <c:dLblPos val="ctr"/>
          <c:showLegendKey val="0"/>
          <c:showVal val="1"/>
          <c:showCatName val="0"/>
          <c:showSerName val="0"/>
          <c:showPercent val="0"/>
          <c:showBubbleSize val="0"/>
        </c:dLbls>
        <c:gapWidth val="150"/>
        <c:overlap val="100"/>
        <c:axId val="2047274655"/>
        <c:axId val="2047272575"/>
      </c:barChart>
      <c:catAx>
        <c:axId val="204727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47272575"/>
        <c:crosses val="autoZero"/>
        <c:auto val="1"/>
        <c:lblAlgn val="ctr"/>
        <c:lblOffset val="100"/>
        <c:noMultiLvlLbl val="0"/>
      </c:catAx>
      <c:valAx>
        <c:axId val="204727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47274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Economie!$A$10</c:f>
          <c:strCache>
            <c:ptCount val="1"/>
            <c:pt idx="0">
              <c:v>Répartition du PIB en 2023</c:v>
            </c:pt>
          </c:strCache>
        </c:strRef>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barChart>
        <c:barDir val="col"/>
        <c:grouping val="percentStacked"/>
        <c:varyColors val="0"/>
        <c:ser>
          <c:idx val="0"/>
          <c:order val="0"/>
          <c:tx>
            <c:strRef>
              <c:f>Economie!$B$11</c:f>
              <c:strCache>
                <c:ptCount val="1"/>
                <c:pt idx="0">
                  <c:v>Flumevale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Economie!$A$12:$A$26</c:f>
              <c:strCache>
                <c:ptCount val="15"/>
                <c:pt idx="0">
                  <c:v>Agriculture</c:v>
                </c:pt>
                <c:pt idx="1">
                  <c:v>Entertainment</c:v>
                </c:pt>
                <c:pt idx="2">
                  <c:v>Construction</c:v>
                </c:pt>
                <c:pt idx="3">
                  <c:v>Education</c:v>
                </c:pt>
                <c:pt idx="4">
                  <c:v>Finance</c:v>
                </c:pt>
                <c:pt idx="5">
                  <c:v>Information</c:v>
                </c:pt>
                <c:pt idx="6">
                  <c:v>Manufacturing</c:v>
                </c:pt>
                <c:pt idx="7">
                  <c:v>Mining</c:v>
                </c:pt>
                <c:pt idx="8">
                  <c:v>Professional Services</c:v>
                </c:pt>
                <c:pt idx="9">
                  <c:v>Retail</c:v>
                </c:pt>
                <c:pt idx="10">
                  <c:v>Transportation</c:v>
                </c:pt>
                <c:pt idx="11">
                  <c:v>Utilities</c:v>
                </c:pt>
                <c:pt idx="12">
                  <c:v>Trade</c:v>
                </c:pt>
                <c:pt idx="13">
                  <c:v>Government</c:v>
                </c:pt>
                <c:pt idx="14">
                  <c:v>Other</c:v>
                </c:pt>
              </c:strCache>
            </c:strRef>
          </c:cat>
          <c:val>
            <c:numRef>
              <c:f>Economie!$B$12:$B$26</c:f>
              <c:numCache>
                <c:formatCode>0.00%</c:formatCode>
                <c:ptCount val="15"/>
                <c:pt idx="0">
                  <c:v>5.8999999999999997E-2</c:v>
                </c:pt>
                <c:pt idx="1">
                  <c:v>4.7E-2</c:v>
                </c:pt>
                <c:pt idx="2">
                  <c:v>4.1000000000000002E-2</c:v>
                </c:pt>
                <c:pt idx="3">
                  <c:v>7.5999999999999998E-2</c:v>
                </c:pt>
                <c:pt idx="4">
                  <c:v>0.188</c:v>
                </c:pt>
                <c:pt idx="5">
                  <c:v>7.4999999999999997E-2</c:v>
                </c:pt>
                <c:pt idx="6">
                  <c:v>0.1</c:v>
                </c:pt>
                <c:pt idx="7">
                  <c:v>7.0000000000000001E-3</c:v>
                </c:pt>
                <c:pt idx="8">
                  <c:v>0.122</c:v>
                </c:pt>
                <c:pt idx="9">
                  <c:v>0.06</c:v>
                </c:pt>
                <c:pt idx="10">
                  <c:v>3.3000000000000002E-2</c:v>
                </c:pt>
                <c:pt idx="11">
                  <c:v>1.4E-2</c:v>
                </c:pt>
                <c:pt idx="12">
                  <c:v>5.3999999999999999E-2</c:v>
                </c:pt>
                <c:pt idx="13">
                  <c:v>0.106</c:v>
                </c:pt>
                <c:pt idx="14">
                  <c:v>1.7999999999999999E-2</c:v>
                </c:pt>
              </c:numCache>
            </c:numRef>
          </c:val>
          <c:extLst>
            <c:ext xmlns:c16="http://schemas.microsoft.com/office/drawing/2014/chart" uri="{C3380CC4-5D6E-409C-BE32-E72D297353CC}">
              <c16:uniqueId val="{00000000-D47B-4623-AB14-4873ACA795AB}"/>
            </c:ext>
          </c:extLst>
        </c:ser>
        <c:ser>
          <c:idx val="1"/>
          <c:order val="1"/>
          <c:tx>
            <c:strRef>
              <c:f>Economie!$C$11</c:f>
              <c:strCache>
                <c:ptCount val="1"/>
                <c:pt idx="0">
                  <c:v>Lyndrassia</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Economie!$A$12:$A$26</c:f>
              <c:strCache>
                <c:ptCount val="15"/>
                <c:pt idx="0">
                  <c:v>Agriculture</c:v>
                </c:pt>
                <c:pt idx="1">
                  <c:v>Entertainment</c:v>
                </c:pt>
                <c:pt idx="2">
                  <c:v>Construction</c:v>
                </c:pt>
                <c:pt idx="3">
                  <c:v>Education</c:v>
                </c:pt>
                <c:pt idx="4">
                  <c:v>Finance</c:v>
                </c:pt>
                <c:pt idx="5">
                  <c:v>Information</c:v>
                </c:pt>
                <c:pt idx="6">
                  <c:v>Manufacturing</c:v>
                </c:pt>
                <c:pt idx="7">
                  <c:v>Mining</c:v>
                </c:pt>
                <c:pt idx="8">
                  <c:v>Professional Services</c:v>
                </c:pt>
                <c:pt idx="9">
                  <c:v>Retail</c:v>
                </c:pt>
                <c:pt idx="10">
                  <c:v>Transportation</c:v>
                </c:pt>
                <c:pt idx="11">
                  <c:v>Utilities</c:v>
                </c:pt>
                <c:pt idx="12">
                  <c:v>Trade</c:v>
                </c:pt>
                <c:pt idx="13">
                  <c:v>Government</c:v>
                </c:pt>
                <c:pt idx="14">
                  <c:v>Other</c:v>
                </c:pt>
              </c:strCache>
            </c:strRef>
          </c:cat>
          <c:val>
            <c:numRef>
              <c:f>Economie!$C$12:$C$26</c:f>
              <c:numCache>
                <c:formatCode>0.00%</c:formatCode>
                <c:ptCount val="15"/>
                <c:pt idx="0">
                  <c:v>1.9E-2</c:v>
                </c:pt>
                <c:pt idx="1">
                  <c:v>4.5999999999999999E-2</c:v>
                </c:pt>
                <c:pt idx="2">
                  <c:v>4.9000000000000002E-2</c:v>
                </c:pt>
                <c:pt idx="3">
                  <c:v>0.10100000000000001</c:v>
                </c:pt>
                <c:pt idx="4">
                  <c:v>0.155</c:v>
                </c:pt>
                <c:pt idx="5">
                  <c:v>3.2000000000000001E-2</c:v>
                </c:pt>
                <c:pt idx="6">
                  <c:v>0.109</c:v>
                </c:pt>
                <c:pt idx="7">
                  <c:v>8.7999999999999995E-2</c:v>
                </c:pt>
                <c:pt idx="8">
                  <c:v>0.10199999999999999</c:v>
                </c:pt>
                <c:pt idx="9">
                  <c:v>6.9000000000000006E-2</c:v>
                </c:pt>
                <c:pt idx="10">
                  <c:v>3.6999999999999998E-2</c:v>
                </c:pt>
                <c:pt idx="11">
                  <c:v>1.4999999999999999E-2</c:v>
                </c:pt>
                <c:pt idx="12">
                  <c:v>6.7000000000000004E-2</c:v>
                </c:pt>
                <c:pt idx="13">
                  <c:v>8.6999999999999994E-2</c:v>
                </c:pt>
                <c:pt idx="14">
                  <c:v>2.4E-2</c:v>
                </c:pt>
              </c:numCache>
            </c:numRef>
          </c:val>
          <c:extLst>
            <c:ext xmlns:c16="http://schemas.microsoft.com/office/drawing/2014/chart" uri="{C3380CC4-5D6E-409C-BE32-E72D297353CC}">
              <c16:uniqueId val="{00000001-D47B-4623-AB14-4873ACA795AB}"/>
            </c:ext>
          </c:extLst>
        </c:ser>
        <c:ser>
          <c:idx val="2"/>
          <c:order val="2"/>
          <c:tx>
            <c:strRef>
              <c:f>Economie!$D$11</c:f>
              <c:strCache>
                <c:ptCount val="1"/>
                <c:pt idx="0">
                  <c:v>Navaldia</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Economie!$A$12:$A$26</c:f>
              <c:strCache>
                <c:ptCount val="15"/>
                <c:pt idx="0">
                  <c:v>Agriculture</c:v>
                </c:pt>
                <c:pt idx="1">
                  <c:v>Entertainment</c:v>
                </c:pt>
                <c:pt idx="2">
                  <c:v>Construction</c:v>
                </c:pt>
                <c:pt idx="3">
                  <c:v>Education</c:v>
                </c:pt>
                <c:pt idx="4">
                  <c:v>Finance</c:v>
                </c:pt>
                <c:pt idx="5">
                  <c:v>Information</c:v>
                </c:pt>
                <c:pt idx="6">
                  <c:v>Manufacturing</c:v>
                </c:pt>
                <c:pt idx="7">
                  <c:v>Mining</c:v>
                </c:pt>
                <c:pt idx="8">
                  <c:v>Professional Services</c:v>
                </c:pt>
                <c:pt idx="9">
                  <c:v>Retail</c:v>
                </c:pt>
                <c:pt idx="10">
                  <c:v>Transportation</c:v>
                </c:pt>
                <c:pt idx="11">
                  <c:v>Utilities</c:v>
                </c:pt>
                <c:pt idx="12">
                  <c:v>Trade</c:v>
                </c:pt>
                <c:pt idx="13">
                  <c:v>Government</c:v>
                </c:pt>
                <c:pt idx="14">
                  <c:v>Other</c:v>
                </c:pt>
              </c:strCache>
            </c:strRef>
          </c:cat>
          <c:val>
            <c:numRef>
              <c:f>Economie!$D$12:$D$26</c:f>
              <c:numCache>
                <c:formatCode>0.00%</c:formatCode>
                <c:ptCount val="15"/>
                <c:pt idx="0">
                  <c:v>7.0000000000000001E-3</c:v>
                </c:pt>
                <c:pt idx="1">
                  <c:v>3.5999999999999997E-2</c:v>
                </c:pt>
                <c:pt idx="2">
                  <c:v>5.8999999999999997E-2</c:v>
                </c:pt>
                <c:pt idx="3">
                  <c:v>0.09</c:v>
                </c:pt>
                <c:pt idx="4">
                  <c:v>0.188</c:v>
                </c:pt>
                <c:pt idx="5">
                  <c:v>3.9E-2</c:v>
                </c:pt>
                <c:pt idx="6">
                  <c:v>0.113</c:v>
                </c:pt>
                <c:pt idx="7">
                  <c:v>7.0000000000000001E-3</c:v>
                </c:pt>
                <c:pt idx="8">
                  <c:v>0.129</c:v>
                </c:pt>
                <c:pt idx="9">
                  <c:v>6.2E-2</c:v>
                </c:pt>
                <c:pt idx="10">
                  <c:v>5.5E-2</c:v>
                </c:pt>
                <c:pt idx="11">
                  <c:v>1.7999999999999999E-2</c:v>
                </c:pt>
                <c:pt idx="12">
                  <c:v>8.7999999999999995E-2</c:v>
                </c:pt>
                <c:pt idx="13">
                  <c:v>0.09</c:v>
                </c:pt>
                <c:pt idx="14">
                  <c:v>1.9E-2</c:v>
                </c:pt>
              </c:numCache>
            </c:numRef>
          </c:val>
          <c:extLst>
            <c:ext xmlns:c16="http://schemas.microsoft.com/office/drawing/2014/chart" uri="{C3380CC4-5D6E-409C-BE32-E72D297353CC}">
              <c16:uniqueId val="{00000002-D47B-4623-AB14-4873ACA795AB}"/>
            </c:ext>
          </c:extLst>
        </c:ser>
        <c:dLbls>
          <c:showLegendKey val="0"/>
          <c:showVal val="0"/>
          <c:showCatName val="0"/>
          <c:showSerName val="0"/>
          <c:showPercent val="0"/>
          <c:showBubbleSize val="0"/>
        </c:dLbls>
        <c:gapWidth val="150"/>
        <c:overlap val="100"/>
        <c:axId val="2061855807"/>
        <c:axId val="2061857055"/>
      </c:barChart>
      <c:catAx>
        <c:axId val="20618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61857055"/>
        <c:crosses val="autoZero"/>
        <c:auto val="1"/>
        <c:lblAlgn val="ctr"/>
        <c:lblOffset val="100"/>
        <c:noMultiLvlLbl val="0"/>
      </c:catAx>
      <c:valAx>
        <c:axId val="2061857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6185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614363</xdr:colOff>
      <xdr:row>7</xdr:row>
      <xdr:rowOff>114301</xdr:rowOff>
    </xdr:from>
    <xdr:to>
      <xdr:col>12</xdr:col>
      <xdr:colOff>590551</xdr:colOff>
      <xdr:row>16</xdr:row>
      <xdr:rowOff>76201</xdr:rowOff>
    </xdr:to>
    <xdr:sp macro="" textlink="">
      <xdr:nvSpPr>
        <xdr:cNvPr id="4" name="Rectangle 3">
          <a:extLst>
            <a:ext uri="{FF2B5EF4-FFF2-40B4-BE49-F238E27FC236}">
              <a16:creationId xmlns:a16="http://schemas.microsoft.com/office/drawing/2014/main" id="{819D94D4-4336-418C-B124-0378FD27126C}"/>
            </a:ext>
          </a:extLst>
        </xdr:cNvPr>
        <xdr:cNvSpPr/>
      </xdr:nvSpPr>
      <xdr:spPr>
        <a:xfrm>
          <a:off x="6453188" y="1647826"/>
          <a:ext cx="4738688" cy="15906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200"/>
            <a:t>La population de Tarrodan est globalement stable, mais sa croissance est inégalement répartie entre les régions. Flumevale reste la région la plus peuplée, bien que sa part diminue légèrement, tandis que Navaldia connaît une forte croissance démographique et capte une part croissante de la population nationale. Lyndrassia demeure stable avec une croissance modérée. Ces dynamiques indiquent un déplacement progressif de l’exposition vers Navaldia, justifiant une attention particulière dans l’évaluation des risques futurs.</a:t>
          </a:r>
        </a:p>
      </xdr:txBody>
    </xdr:sp>
    <xdr:clientData/>
  </xdr:twoCellAnchor>
  <xdr:twoCellAnchor>
    <xdr:from>
      <xdr:col>0</xdr:col>
      <xdr:colOff>26193</xdr:colOff>
      <xdr:row>21</xdr:row>
      <xdr:rowOff>64294</xdr:rowOff>
    </xdr:from>
    <xdr:to>
      <xdr:col>4</xdr:col>
      <xdr:colOff>340518</xdr:colOff>
      <xdr:row>36</xdr:row>
      <xdr:rowOff>92869</xdr:rowOff>
    </xdr:to>
    <xdr:graphicFrame macro="">
      <xdr:nvGraphicFramePr>
        <xdr:cNvPr id="5" name="Graphique 4">
          <a:extLst>
            <a:ext uri="{FF2B5EF4-FFF2-40B4-BE49-F238E27FC236}">
              <a16:creationId xmlns:a16="http://schemas.microsoft.com/office/drawing/2014/main" id="{098A8AE2-3505-40B2-8B2C-E1C31996F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638175</xdr:colOff>
      <xdr:row>21</xdr:row>
      <xdr:rowOff>176213</xdr:rowOff>
    </xdr:from>
    <xdr:to>
      <xdr:col>13</xdr:col>
      <xdr:colOff>4763</xdr:colOff>
      <xdr:row>32</xdr:row>
      <xdr:rowOff>123825</xdr:rowOff>
    </xdr:to>
    <xdr:sp macro="" textlink="">
      <xdr:nvSpPr>
        <xdr:cNvPr id="6" name="Rectangle 5">
          <a:extLst>
            <a:ext uri="{FF2B5EF4-FFF2-40B4-BE49-F238E27FC236}">
              <a16:creationId xmlns:a16="http://schemas.microsoft.com/office/drawing/2014/main" id="{BF74FD6E-EF96-488D-A542-BAA0F3D0B31F}"/>
            </a:ext>
          </a:extLst>
        </xdr:cNvPr>
        <xdr:cNvSpPr/>
      </xdr:nvSpPr>
      <xdr:spPr>
        <a:xfrm>
          <a:off x="6477000" y="4243388"/>
          <a:ext cx="4776788" cy="193833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200"/>
            <a:t>La structure de peuplement varie fortement selon les régions. Flumevale est très majoritairement urbanisée, avec une concentration marquée dans les grandes villes, ce qui traduit une forte densité humaine et une exposition élevée. Lyndrassia présente une répartition plus équilibrée entre zones urbaines et rurales, reflétant un territoire plus dispersé. Navaldia se distingue par une proportion importante de population rurale et de petites villes, combinée à une urbanisation plus diffuse. Ces différences territoriales impliquent des profils de risque distincts et justifient des stratégies de prévention et d’intervention adaptées à chaque région.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416717</xdr:colOff>
      <xdr:row>11</xdr:row>
      <xdr:rowOff>140493</xdr:rowOff>
    </xdr:from>
    <xdr:to>
      <xdr:col>8</xdr:col>
      <xdr:colOff>442912</xdr:colOff>
      <xdr:row>31</xdr:row>
      <xdr:rowOff>23813</xdr:rowOff>
    </xdr:to>
    <xdr:graphicFrame macro="">
      <xdr:nvGraphicFramePr>
        <xdr:cNvPr id="2" name="Graphique 1">
          <a:extLst>
            <a:ext uri="{FF2B5EF4-FFF2-40B4-BE49-F238E27FC236}">
              <a16:creationId xmlns:a16="http://schemas.microsoft.com/office/drawing/2014/main" id="{1C1792EC-0D9A-4F90-AE30-5DD518DDD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407192</xdr:colOff>
      <xdr:row>12</xdr:row>
      <xdr:rowOff>116680</xdr:rowOff>
    </xdr:from>
    <xdr:to>
      <xdr:col>17</xdr:col>
      <xdr:colOff>280987</xdr:colOff>
      <xdr:row>31</xdr:row>
      <xdr:rowOff>47624</xdr:rowOff>
    </xdr:to>
    <xdr:graphicFrame macro="">
      <xdr:nvGraphicFramePr>
        <xdr:cNvPr id="3" name="Graphique 2">
          <a:extLst>
            <a:ext uri="{FF2B5EF4-FFF2-40B4-BE49-F238E27FC236}">
              <a16:creationId xmlns:a16="http://schemas.microsoft.com/office/drawing/2014/main" id="{47A72B45-3567-4C87-8FBD-8F1AE1FC9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166687</xdr:colOff>
      <xdr:row>0</xdr:row>
      <xdr:rowOff>52388</xdr:rowOff>
    </xdr:from>
    <xdr:to>
      <xdr:col>22</xdr:col>
      <xdr:colOff>9525</xdr:colOff>
      <xdr:row>11</xdr:row>
      <xdr:rowOff>23813</xdr:rowOff>
    </xdr:to>
    <xdr:sp macro="" textlink="">
      <xdr:nvSpPr>
        <xdr:cNvPr id="4" name="Rectangle 3">
          <a:extLst>
            <a:ext uri="{FF2B5EF4-FFF2-40B4-BE49-F238E27FC236}">
              <a16:creationId xmlns:a16="http://schemas.microsoft.com/office/drawing/2014/main" id="{EEA36E83-2841-46FE-8DC5-0FC5CC29DC1D}"/>
            </a:ext>
          </a:extLst>
        </xdr:cNvPr>
        <xdr:cNvSpPr/>
      </xdr:nvSpPr>
      <xdr:spPr>
        <a:xfrm>
          <a:off x="13087350" y="52388"/>
          <a:ext cx="5938838" cy="19621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200"/>
            <a:t>La distribution de la population selon la valeur du logement révèle des profils économiques distincts entre les régions. Flumevale concentre une part importante de la population dans les logements de valeur élevée, indiquant une accumulation significative de richesse immobilière et une exposition potentielle élevée en cas de sinistre. Navaldia présente une répartition plus équilibrée, avec une forte présence dans les logements de valeur intermédiaire, traduisant une classe moyenne dominante mais numériquement importante. Lyndrassia se caractérise par une concentration plus marquée dans les logements de faible à moyenne valeur, suggérant une exposition financière plus modérée mais une vulnérabilité sociale potentiellement plus élevée. Ces différences soulignent l’hétérogénéité de la sévérité économique des risques entre les régions.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483391</xdr:colOff>
      <xdr:row>9</xdr:row>
      <xdr:rowOff>11905</xdr:rowOff>
    </xdr:from>
    <xdr:to>
      <xdr:col>16</xdr:col>
      <xdr:colOff>481012</xdr:colOff>
      <xdr:row>29</xdr:row>
      <xdr:rowOff>171450</xdr:rowOff>
    </xdr:to>
    <xdr:graphicFrame macro="">
      <xdr:nvGraphicFramePr>
        <xdr:cNvPr id="2" name="Graphique 1">
          <a:extLst>
            <a:ext uri="{FF2B5EF4-FFF2-40B4-BE49-F238E27FC236}">
              <a16:creationId xmlns:a16="http://schemas.microsoft.com/office/drawing/2014/main" id="{6926B834-B864-4D44-A1FB-5FBEF292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761999</xdr:colOff>
      <xdr:row>0</xdr:row>
      <xdr:rowOff>85726</xdr:rowOff>
    </xdr:from>
    <xdr:to>
      <xdr:col>23</xdr:col>
      <xdr:colOff>38099</xdr:colOff>
      <xdr:row>29</xdr:row>
      <xdr:rowOff>142875</xdr:rowOff>
    </xdr:to>
    <xdr:sp macro="" textlink="">
      <xdr:nvSpPr>
        <xdr:cNvPr id="3" name="Rectangle 2">
          <a:extLst>
            <a:ext uri="{FF2B5EF4-FFF2-40B4-BE49-F238E27FC236}">
              <a16:creationId xmlns:a16="http://schemas.microsoft.com/office/drawing/2014/main" id="{1EAF0A92-7BE8-4C8E-9917-8B3677F91DE2}"/>
            </a:ext>
          </a:extLst>
        </xdr:cNvPr>
        <xdr:cNvSpPr/>
      </xdr:nvSpPr>
      <xdr:spPr>
        <a:xfrm>
          <a:off x="14273212" y="85726"/>
          <a:ext cx="4610100" cy="53054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200" b="1"/>
            <a:t>Observation</a:t>
          </a:r>
          <a:r>
            <a:rPr lang="fr-FR" sz="1200" b="1" baseline="0"/>
            <a:t> de 2019 à 2023</a:t>
          </a:r>
        </a:p>
        <a:p>
          <a:pPr algn="l"/>
          <a:r>
            <a:rPr lang="fr-FR" sz="1200"/>
            <a:t>La répartition du PIB de Tarrodan montre une structure économique relativement stable sur la période, avec une contribution dominante de Flumevale, qui génère un peu plus de la moitié du PIB national, tandis que Navaldia représente un peu plus de 40 % et Lyndrassia environ 6 %. L’évolution du PIB met en évidence un léger recul en 2020, principalement porté par Navaldia, suivi d’une forte reprise économique à partir de 2021 dans l’ensemble des régions. Cette croissance est particulièrement marquée en Navaldia et Lyndrassia en 2021 et 2022, avant de se modérer en 2023. Globalement, ces résultats indiquent une croissance économique soutenue mais différenciée selon les régions, impliquant une augmentation de l’exposition économique nationale et justifiant une prise en compte régionale dans l’évaluation des risques et des capacités contributives.</a:t>
          </a:r>
        </a:p>
        <a:p>
          <a:pPr algn="l"/>
          <a:endParaRPr lang="fr-FR" sz="1200"/>
        </a:p>
        <a:p>
          <a:pPr algn="l"/>
          <a:r>
            <a:rPr lang="fr-FR" sz="1200" b="1"/>
            <a:t>PIB</a:t>
          </a:r>
          <a:r>
            <a:rPr lang="fr-FR" sz="1200" b="1" baseline="0"/>
            <a:t> par secteur </a:t>
          </a:r>
        </a:p>
        <a:p>
          <a:pPr algn="l"/>
          <a:r>
            <a:rPr lang="fr-FR" sz="1200"/>
            <a:t>La répartition du PIB par secteur met en évidence des structures économiques régionales distinctes. Flumevale contribue fortement aux secteurs de l’agriculture, de l’information et de la finance, traduisant une économie diversifiée et orientée vers les services à forte valeur ajoutée. Lyndrassia se distingue par une concentration très marquée dans le secteur minier, révélant une dépendance sectorielle élevée et une sensibilité accrue aux chocs spécifiques à cette industrie. Navaldia présente une contribution importante dans les secteurs du transport, du commerce et des services professionnels, reflétant une économie tournée vers les échanges et la logistique. Cette hétérogénéité sectorielle implique des profils de vulnérabilité économique différenciés entre les régions.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zoomScale="90" zoomScaleNormal="90" workbookViewId="0">
      <selection activeCell="H1" sqref="H1:P7"/>
    </sheetView>
  </sheetViews>
  <sheetFormatPr baseColWidth="10" defaultColWidth="9.06640625" defaultRowHeight="14.25" x14ac:dyDescent="0.45"/>
  <cols>
    <col min="1" max="1" width="18.59765625" customWidth="1"/>
    <col min="2" max="2" width="15.86328125" customWidth="1"/>
    <col min="3" max="3" width="12.06640625" bestFit="1" customWidth="1"/>
    <col min="4" max="5" width="13.06640625" bestFit="1" customWidth="1"/>
    <col min="8" max="8" width="16.19921875" customWidth="1"/>
    <col min="9" max="9" width="10.59765625" bestFit="1" customWidth="1"/>
    <col min="10" max="10" width="9.59765625" bestFit="1" customWidth="1"/>
    <col min="11" max="12" width="10.59765625" bestFit="1" customWidth="1"/>
  </cols>
  <sheetData>
    <row r="1" spans="1:16" ht="21" customHeight="1" x14ac:dyDescent="0.45">
      <c r="A1" s="7" t="s">
        <v>0</v>
      </c>
      <c r="B1" s="7" t="s">
        <v>1</v>
      </c>
      <c r="C1" s="7" t="s">
        <v>2</v>
      </c>
      <c r="D1" s="7" t="s">
        <v>3</v>
      </c>
      <c r="E1" s="7" t="s">
        <v>4</v>
      </c>
      <c r="I1" s="11" t="s">
        <v>38</v>
      </c>
      <c r="J1" s="11"/>
      <c r="K1" s="11"/>
      <c r="L1" s="11"/>
      <c r="M1" s="11" t="s">
        <v>39</v>
      </c>
      <c r="N1" s="11"/>
      <c r="O1" s="11"/>
      <c r="P1" s="11"/>
    </row>
    <row r="2" spans="1:16" ht="28.5" x14ac:dyDescent="0.45">
      <c r="A2" s="2">
        <v>2019</v>
      </c>
      <c r="B2" s="3">
        <v>45363514</v>
      </c>
      <c r="C2" s="3">
        <v>7067855</v>
      </c>
      <c r="D2" s="3">
        <v>39808697</v>
      </c>
      <c r="E2" s="3">
        <v>92240066</v>
      </c>
      <c r="H2" s="7" t="s">
        <v>0</v>
      </c>
      <c r="I2" s="7" t="s">
        <v>1</v>
      </c>
      <c r="J2" s="7" t="s">
        <v>2</v>
      </c>
      <c r="K2" s="7" t="s">
        <v>3</v>
      </c>
      <c r="L2" s="7" t="s">
        <v>4</v>
      </c>
      <c r="M2" s="7" t="s">
        <v>1</v>
      </c>
      <c r="N2" s="7" t="s">
        <v>2</v>
      </c>
      <c r="O2" s="7" t="s">
        <v>3</v>
      </c>
      <c r="P2" s="7" t="s">
        <v>4</v>
      </c>
    </row>
    <row r="3" spans="1:16" x14ac:dyDescent="0.45">
      <c r="A3" s="2">
        <v>2020</v>
      </c>
      <c r="B3" s="3">
        <v>45502051</v>
      </c>
      <c r="C3" s="3">
        <v>7097789</v>
      </c>
      <c r="D3" s="3">
        <v>40175188</v>
      </c>
      <c r="E3" s="3">
        <v>92775028</v>
      </c>
      <c r="H3" s="2">
        <v>2019</v>
      </c>
      <c r="I3" s="9">
        <f>B2/$E2</f>
        <v>0.49179836883464501</v>
      </c>
      <c r="J3" s="9">
        <f t="shared" ref="J3:L7" si="0">C2/$E2</f>
        <v>7.6624565728302924E-2</v>
      </c>
      <c r="K3" s="9">
        <f t="shared" si="0"/>
        <v>0.43157706543705204</v>
      </c>
      <c r="L3" s="9">
        <f t="shared" si="0"/>
        <v>1</v>
      </c>
      <c r="M3" s="9"/>
      <c r="N3" s="9"/>
      <c r="O3" s="9"/>
      <c r="P3" s="9"/>
    </row>
    <row r="4" spans="1:16" x14ac:dyDescent="0.45">
      <c r="A4" s="2">
        <v>2021</v>
      </c>
      <c r="B4" s="3">
        <v>45651175</v>
      </c>
      <c r="C4" s="3">
        <v>7131024</v>
      </c>
      <c r="D4" s="3">
        <v>40565887</v>
      </c>
      <c r="E4" s="3">
        <v>93348086</v>
      </c>
      <c r="H4" s="2">
        <v>2020</v>
      </c>
      <c r="I4" s="9">
        <f t="shared" ref="I4:I7" si="1">B3/$E3</f>
        <v>0.49045580455119886</v>
      </c>
      <c r="J4" s="9">
        <f t="shared" si="0"/>
        <v>7.6505382461323532E-2</v>
      </c>
      <c r="K4" s="9">
        <f t="shared" si="0"/>
        <v>0.43303881298747759</v>
      </c>
      <c r="L4" s="9">
        <f t="shared" si="0"/>
        <v>1</v>
      </c>
      <c r="M4" s="10">
        <f>B3/B2-1</f>
        <v>3.0539300813423598E-3</v>
      </c>
      <c r="N4" s="10">
        <f t="shared" ref="N4:P7" si="2">C3/C2-1</f>
        <v>4.2352311981499469E-3</v>
      </c>
      <c r="O4" s="10">
        <f t="shared" si="2"/>
        <v>9.2063048433863592E-3</v>
      </c>
      <c r="P4" s="10">
        <f t="shared" si="2"/>
        <v>5.7996706116840713E-3</v>
      </c>
    </row>
    <row r="5" spans="1:16" x14ac:dyDescent="0.45">
      <c r="A5" s="2">
        <v>2022</v>
      </c>
      <c r="B5" s="3">
        <v>45599000</v>
      </c>
      <c r="C5" s="3">
        <v>7157446</v>
      </c>
      <c r="D5" s="3">
        <v>40953108</v>
      </c>
      <c r="E5" s="3">
        <v>93709554</v>
      </c>
      <c r="H5" s="2">
        <v>2021</v>
      </c>
      <c r="I5" s="9">
        <f t="shared" si="1"/>
        <v>0.48904243200015907</v>
      </c>
      <c r="J5" s="9">
        <f t="shared" si="0"/>
        <v>7.6391753763435488E-2</v>
      </c>
      <c r="K5" s="9">
        <f t="shared" si="0"/>
        <v>0.43456581423640545</v>
      </c>
      <c r="L5" s="9">
        <f t="shared" si="0"/>
        <v>1</v>
      </c>
      <c r="M5" s="10">
        <f t="shared" ref="M5:M7" si="3">B4/B3-1</f>
        <v>3.2773028187234043E-3</v>
      </c>
      <c r="N5" s="10">
        <f t="shared" si="2"/>
        <v>4.6824440681456636E-3</v>
      </c>
      <c r="O5" s="10">
        <f t="shared" si="2"/>
        <v>9.7248829302305495E-3</v>
      </c>
      <c r="P5" s="10">
        <f t="shared" si="2"/>
        <v>6.1768561255512999E-3</v>
      </c>
    </row>
    <row r="6" spans="1:16" x14ac:dyDescent="0.45">
      <c r="A6" s="2">
        <v>2023</v>
      </c>
      <c r="B6" s="3">
        <v>45311937</v>
      </c>
      <c r="C6" s="3">
        <v>7239138</v>
      </c>
      <c r="D6" s="3">
        <v>42148205</v>
      </c>
      <c r="E6" s="3">
        <v>94699280</v>
      </c>
      <c r="H6" s="2">
        <v>2022</v>
      </c>
      <c r="I6" s="9">
        <f t="shared" si="1"/>
        <v>0.48659926393417685</v>
      </c>
      <c r="J6" s="9">
        <f t="shared" si="0"/>
        <v>7.6379042418663098E-2</v>
      </c>
      <c r="K6" s="9">
        <f t="shared" si="0"/>
        <v>0.43702169364716004</v>
      </c>
      <c r="L6" s="9">
        <f t="shared" si="0"/>
        <v>1</v>
      </c>
      <c r="M6" s="10">
        <f t="shared" si="3"/>
        <v>-1.1429059602517944E-3</v>
      </c>
      <c r="N6" s="10">
        <f t="shared" si="2"/>
        <v>3.7052182126999789E-3</v>
      </c>
      <c r="O6" s="10">
        <f t="shared" si="2"/>
        <v>9.5454833762169677E-3</v>
      </c>
      <c r="P6" s="10">
        <f t="shared" si="2"/>
        <v>3.8722593626612234E-3</v>
      </c>
    </row>
    <row r="7" spans="1:16" x14ac:dyDescent="0.45">
      <c r="H7" s="2">
        <v>2023</v>
      </c>
      <c r="I7" s="9">
        <f t="shared" si="1"/>
        <v>0.47848238128104037</v>
      </c>
      <c r="J7" s="9">
        <f t="shared" si="0"/>
        <v>7.6443432304870745E-2</v>
      </c>
      <c r="K7" s="9">
        <f t="shared" si="0"/>
        <v>0.44507418641408891</v>
      </c>
      <c r="L7" s="9">
        <f t="shared" si="0"/>
        <v>1</v>
      </c>
      <c r="M7" s="10">
        <f t="shared" si="3"/>
        <v>-6.2953792846334178E-3</v>
      </c>
      <c r="N7" s="10">
        <f t="shared" si="2"/>
        <v>1.1413568471211555E-2</v>
      </c>
      <c r="O7" s="10">
        <f t="shared" si="2"/>
        <v>2.9182083079018151E-2</v>
      </c>
      <c r="P7" s="10">
        <f t="shared" si="2"/>
        <v>1.0561633875666443E-2</v>
      </c>
    </row>
    <row r="11" spans="1:16" x14ac:dyDescent="0.45">
      <c r="A11" s="8" t="s">
        <v>5</v>
      </c>
      <c r="B11" s="8"/>
    </row>
    <row r="12" spans="1:16" x14ac:dyDescent="0.45">
      <c r="A12" s="4" t="str" cm="1">
        <f t="array" ref="A12:A14">TRANSPOSE(B1:D1)</f>
        <v>Flumevale</v>
      </c>
      <c r="B12" s="4">
        <v>67.400000000000006</v>
      </c>
    </row>
    <row r="13" spans="1:16" x14ac:dyDescent="0.45">
      <c r="A13" s="4" t="str">
        <v>Lyndrassia</v>
      </c>
      <c r="B13" s="4">
        <v>13</v>
      </c>
    </row>
    <row r="14" spans="1:16" x14ac:dyDescent="0.45">
      <c r="A14" s="4" t="str">
        <v>Navaldia</v>
      </c>
      <c r="B14" s="4">
        <v>53.2</v>
      </c>
    </row>
    <row r="18" spans="1:4" x14ac:dyDescent="0.45">
      <c r="A18" s="7" t="s">
        <v>7</v>
      </c>
      <c r="B18" s="7" t="s">
        <v>1</v>
      </c>
      <c r="C18" s="7" t="s">
        <v>2</v>
      </c>
      <c r="D18" s="7" t="s">
        <v>3</v>
      </c>
    </row>
    <row r="19" spans="1:4" x14ac:dyDescent="0.45">
      <c r="A19" s="5" t="s">
        <v>8</v>
      </c>
      <c r="B19" s="12">
        <v>0.88200000000000001</v>
      </c>
      <c r="C19" s="12">
        <v>0.52400000000000002</v>
      </c>
      <c r="D19" s="12">
        <v>0.38800000000000001</v>
      </c>
    </row>
    <row r="20" spans="1:4" x14ac:dyDescent="0.45">
      <c r="A20" s="5" t="s">
        <v>9</v>
      </c>
      <c r="B20" s="12">
        <v>5.7000000000000002E-2</v>
      </c>
      <c r="C20" s="12">
        <v>0.16</v>
      </c>
      <c r="D20" s="12">
        <v>0.23899999999999999</v>
      </c>
    </row>
    <row r="21" spans="1:4" x14ac:dyDescent="0.45">
      <c r="A21" s="5" t="s">
        <v>10</v>
      </c>
      <c r="B21" s="12">
        <v>6.0999999999999999E-2</v>
      </c>
      <c r="C21" s="12">
        <v>0.316</v>
      </c>
      <c r="D21" s="12">
        <v>0.373</v>
      </c>
    </row>
  </sheetData>
  <mergeCells count="3">
    <mergeCell ref="A11:B11"/>
    <mergeCell ref="I1:L1"/>
    <mergeCell ref="M1:P1"/>
  </mergeCells>
  <pageMargins left="0.7" right="0.7" top="0.75" bottom="0.75" header="0.3" footer="0.3"/>
  <ignoredErrors>
    <ignoredError sqref="M4:M7"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222B-F354-4584-BF7C-AE7BE4071294}">
  <dimension ref="A1:N11"/>
  <sheetViews>
    <sheetView topLeftCell="D1" workbookViewId="0">
      <selection activeCell="T18" sqref="T18"/>
    </sheetView>
  </sheetViews>
  <sheetFormatPr baseColWidth="10" defaultRowHeight="14.25" x14ac:dyDescent="0.45"/>
  <cols>
    <col min="1" max="1" width="18.3984375" customWidth="1"/>
    <col min="2" max="2" width="13.06640625" bestFit="1" customWidth="1"/>
    <col min="3" max="3" width="12.06640625" bestFit="1" customWidth="1"/>
    <col min="4" max="5" width="13.06640625" bestFit="1" customWidth="1"/>
    <col min="11" max="11" width="25.86328125" customWidth="1"/>
  </cols>
  <sheetData>
    <row r="1" spans="1:14" x14ac:dyDescent="0.45">
      <c r="B1" s="14" t="s">
        <v>40</v>
      </c>
      <c r="C1" s="15"/>
      <c r="D1" s="15"/>
      <c r="E1" s="15"/>
      <c r="F1" s="15"/>
      <c r="G1" s="15"/>
      <c r="H1" s="15"/>
      <c r="I1" s="15"/>
      <c r="K1" s="8" t="s">
        <v>41</v>
      </c>
      <c r="L1" s="8"/>
      <c r="M1" s="8"/>
      <c r="N1" s="8"/>
    </row>
    <row r="2" spans="1:14" x14ac:dyDescent="0.45">
      <c r="A2" s="7" t="s">
        <v>11</v>
      </c>
      <c r="B2" s="7" t="s">
        <v>1</v>
      </c>
      <c r="C2" s="7" t="s">
        <v>2</v>
      </c>
      <c r="D2" s="7" t="s">
        <v>3</v>
      </c>
      <c r="E2" s="7" t="s">
        <v>4</v>
      </c>
      <c r="F2" s="7" t="s">
        <v>1</v>
      </c>
      <c r="G2" s="7" t="s">
        <v>2</v>
      </c>
      <c r="H2" s="7" t="s">
        <v>3</v>
      </c>
      <c r="I2" s="7" t="s">
        <v>4</v>
      </c>
      <c r="K2" s="7" t="s">
        <v>11</v>
      </c>
      <c r="L2" s="7" t="str" cm="1">
        <f t="array" ref="L2:N2">F2:H2</f>
        <v>Flumevale</v>
      </c>
      <c r="M2" s="7" t="str">
        <v>Lyndrassia</v>
      </c>
      <c r="N2" s="7" t="str">
        <v>Navaldia</v>
      </c>
    </row>
    <row r="3" spans="1:14" x14ac:dyDescent="0.45">
      <c r="A3" s="2" t="s">
        <v>12</v>
      </c>
      <c r="B3" s="3">
        <v>446720</v>
      </c>
      <c r="C3" s="3">
        <v>206960</v>
      </c>
      <c r="D3" s="3">
        <v>871223</v>
      </c>
      <c r="E3" s="3">
        <v>1524903</v>
      </c>
      <c r="F3" s="9">
        <f>B3/B$11</f>
        <v>2.8075961968736331E-2</v>
      </c>
      <c r="G3" s="9">
        <f>C3/C$11</f>
        <v>6.9744980592320094E-2</v>
      </c>
      <c r="H3" s="9">
        <f t="shared" ref="H3:I11" si="0">D3/D$11</f>
        <v>5.3370981997693197E-2</v>
      </c>
      <c r="I3" s="9">
        <f t="shared" si="0"/>
        <v>4.331814213856381E-2</v>
      </c>
      <c r="K3" s="2" t="s">
        <v>12</v>
      </c>
      <c r="L3" s="16">
        <f>B3/$E3</f>
        <v>0.2929497810680417</v>
      </c>
      <c r="M3" s="16">
        <f t="shared" ref="M3:N11" si="1">C3/$E3</f>
        <v>0.13572010809867907</v>
      </c>
      <c r="N3" s="16">
        <f t="shared" si="1"/>
        <v>0.57133011083327923</v>
      </c>
    </row>
    <row r="4" spans="1:14" x14ac:dyDescent="0.45">
      <c r="A4" s="2" t="s">
        <v>13</v>
      </c>
      <c r="B4" s="3">
        <v>552111</v>
      </c>
      <c r="C4" s="3">
        <v>414955</v>
      </c>
      <c r="D4" s="3">
        <v>1593970</v>
      </c>
      <c r="E4" s="3">
        <v>2561036</v>
      </c>
      <c r="F4" s="9">
        <f t="shared" ref="F4:F11" si="2">B4/B$11</f>
        <v>3.4699694301846759E-2</v>
      </c>
      <c r="G4" s="9">
        <f t="shared" ref="G4:G11" si="3">C4/C$11</f>
        <v>0.13983875348708052</v>
      </c>
      <c r="H4" s="9">
        <f t="shared" si="0"/>
        <v>9.7646347921098303E-2</v>
      </c>
      <c r="I4" s="9">
        <f t="shared" si="0"/>
        <v>7.2751723532564955E-2</v>
      </c>
      <c r="K4" s="2" t="s">
        <v>13</v>
      </c>
      <c r="L4" s="16">
        <f t="shared" ref="L4:L11" si="4">B4/$E4</f>
        <v>0.21558111639196012</v>
      </c>
      <c r="M4" s="16">
        <f t="shared" si="1"/>
        <v>0.16202622688630694</v>
      </c>
      <c r="N4" s="16">
        <f t="shared" si="1"/>
        <v>0.62239265672173294</v>
      </c>
    </row>
    <row r="5" spans="1:14" x14ac:dyDescent="0.45">
      <c r="A5" s="2" t="s">
        <v>14</v>
      </c>
      <c r="B5" s="3">
        <v>887815</v>
      </c>
      <c r="C5" s="3">
        <v>471356</v>
      </c>
      <c r="D5" s="3">
        <v>2169919</v>
      </c>
      <c r="E5" s="3">
        <v>3529090</v>
      </c>
      <c r="F5" s="9">
        <f t="shared" si="2"/>
        <v>5.5798397598660558E-2</v>
      </c>
      <c r="G5" s="9">
        <f t="shared" si="3"/>
        <v>0.15884574348701988</v>
      </c>
      <c r="H5" s="9">
        <f t="shared" si="0"/>
        <v>0.13292889178253148</v>
      </c>
      <c r="I5" s="9">
        <f t="shared" si="0"/>
        <v>0.10025137483484796</v>
      </c>
      <c r="K5" s="2" t="s">
        <v>14</v>
      </c>
      <c r="L5" s="16">
        <f t="shared" si="4"/>
        <v>0.2515705181789073</v>
      </c>
      <c r="M5" s="16">
        <f t="shared" si="1"/>
        <v>0.13356304316410178</v>
      </c>
      <c r="N5" s="16">
        <f t="shared" si="1"/>
        <v>0.61486643865699087</v>
      </c>
    </row>
    <row r="6" spans="1:14" x14ac:dyDescent="0.45">
      <c r="A6" s="2" t="s">
        <v>15</v>
      </c>
      <c r="B6" s="3">
        <v>1219671</v>
      </c>
      <c r="C6" s="3">
        <v>448956</v>
      </c>
      <c r="D6" s="3">
        <v>2505863</v>
      </c>
      <c r="E6" s="3">
        <v>4174490</v>
      </c>
      <c r="F6" s="9">
        <f t="shared" si="2"/>
        <v>7.6655257455163439E-2</v>
      </c>
      <c r="G6" s="9">
        <f t="shared" si="3"/>
        <v>0.15129700186898754</v>
      </c>
      <c r="H6" s="9">
        <f t="shared" si="0"/>
        <v>0.15350876763088839</v>
      </c>
      <c r="I6" s="9">
        <f t="shared" si="0"/>
        <v>0.11858534685551358</v>
      </c>
      <c r="K6" s="2" t="s">
        <v>15</v>
      </c>
      <c r="L6" s="16">
        <f t="shared" si="4"/>
        <v>0.29217245699474664</v>
      </c>
      <c r="M6" s="16">
        <f t="shared" si="1"/>
        <v>0.10754750879748184</v>
      </c>
      <c r="N6" s="16">
        <f t="shared" si="1"/>
        <v>0.60028003420777154</v>
      </c>
    </row>
    <row r="7" spans="1:14" x14ac:dyDescent="0.45">
      <c r="A7" s="2" t="s">
        <v>16</v>
      </c>
      <c r="B7" s="3">
        <v>2730435</v>
      </c>
      <c r="C7" s="3">
        <v>572280</v>
      </c>
      <c r="D7" s="3">
        <v>3816207</v>
      </c>
      <c r="E7" s="3">
        <v>7118922</v>
      </c>
      <c r="F7" s="9">
        <f t="shared" si="2"/>
        <v>0.17160545580700792</v>
      </c>
      <c r="G7" s="9">
        <f t="shared" si="3"/>
        <v>0.19285686844497946</v>
      </c>
      <c r="H7" s="9">
        <f t="shared" si="0"/>
        <v>0.23378023203757337</v>
      </c>
      <c r="I7" s="9">
        <f t="shared" si="0"/>
        <v>0.2022282565313</v>
      </c>
      <c r="K7" s="2" t="s">
        <v>16</v>
      </c>
      <c r="L7" s="16">
        <f t="shared" si="4"/>
        <v>0.38354613240600194</v>
      </c>
      <c r="M7" s="16">
        <f t="shared" si="1"/>
        <v>8.0388575686037855E-2</v>
      </c>
      <c r="N7" s="16">
        <f t="shared" si="1"/>
        <v>0.53606529190796026</v>
      </c>
    </row>
    <row r="8" spans="1:14" x14ac:dyDescent="0.45">
      <c r="A8" s="2" t="s">
        <v>17</v>
      </c>
      <c r="B8" s="3">
        <v>2521934</v>
      </c>
      <c r="C8" s="3">
        <v>532740</v>
      </c>
      <c r="D8" s="3">
        <v>3189802</v>
      </c>
      <c r="E8" s="3">
        <v>6244476</v>
      </c>
      <c r="F8" s="9">
        <f t="shared" si="2"/>
        <v>0.15850134999924581</v>
      </c>
      <c r="G8" s="9">
        <f t="shared" si="3"/>
        <v>0.17953199149957774</v>
      </c>
      <c r="H8" s="9">
        <f t="shared" si="0"/>
        <v>0.19540676166516008</v>
      </c>
      <c r="I8" s="9">
        <f t="shared" si="0"/>
        <v>0.17738774135066321</v>
      </c>
      <c r="K8" s="2" t="s">
        <v>17</v>
      </c>
      <c r="L8" s="16">
        <f t="shared" si="4"/>
        <v>0.40386639327303042</v>
      </c>
      <c r="M8" s="16">
        <f t="shared" si="1"/>
        <v>8.5313803752308445E-2</v>
      </c>
      <c r="N8" s="16">
        <f t="shared" si="1"/>
        <v>0.51081980297466112</v>
      </c>
    </row>
    <row r="9" spans="1:14" x14ac:dyDescent="0.45">
      <c r="A9" s="2" t="s">
        <v>18</v>
      </c>
      <c r="B9" s="3">
        <v>5165736</v>
      </c>
      <c r="C9" s="3">
        <v>268786</v>
      </c>
      <c r="D9" s="3">
        <v>1825774</v>
      </c>
      <c r="E9" s="3">
        <v>7260296</v>
      </c>
      <c r="F9" s="9">
        <f t="shared" si="2"/>
        <v>0.3246619973955322</v>
      </c>
      <c r="G9" s="9">
        <f t="shared" si="3"/>
        <v>9.0580181452876649E-2</v>
      </c>
      <c r="H9" s="9">
        <f t="shared" si="0"/>
        <v>0.11184662398244342</v>
      </c>
      <c r="I9" s="9">
        <f t="shared" si="0"/>
        <v>0.2062442883882098</v>
      </c>
      <c r="K9" s="2" t="s">
        <v>18</v>
      </c>
      <c r="L9" s="16">
        <f t="shared" si="4"/>
        <v>0.71150487528332174</v>
      </c>
      <c r="M9" s="16">
        <f t="shared" si="1"/>
        <v>3.7021355603132432E-2</v>
      </c>
      <c r="N9" s="16">
        <f t="shared" si="1"/>
        <v>0.2514737691135458</v>
      </c>
    </row>
    <row r="10" spans="1:14" x14ac:dyDescent="0.45">
      <c r="A10" s="2" t="s">
        <v>19</v>
      </c>
      <c r="B10" s="3">
        <v>2386698</v>
      </c>
      <c r="C10" s="3">
        <v>51349</v>
      </c>
      <c r="D10" s="3">
        <v>351150</v>
      </c>
      <c r="E10" s="3">
        <v>2789197</v>
      </c>
      <c r="F10" s="9">
        <f t="shared" si="2"/>
        <v>0.150001885473807</v>
      </c>
      <c r="G10" s="9">
        <f t="shared" si="3"/>
        <v>1.7304479167158122E-2</v>
      </c>
      <c r="H10" s="9">
        <f t="shared" si="0"/>
        <v>2.1511392982611763E-2</v>
      </c>
      <c r="I10" s="9">
        <f t="shared" si="0"/>
        <v>7.9233126368336709E-2</v>
      </c>
      <c r="K10" s="2" t="s">
        <v>19</v>
      </c>
      <c r="L10" s="16">
        <f t="shared" si="4"/>
        <v>0.85569359209837093</v>
      </c>
      <c r="M10" s="16">
        <f t="shared" si="1"/>
        <v>1.8409958134904061E-2</v>
      </c>
      <c r="N10" s="16">
        <f t="shared" si="1"/>
        <v>0.12589644976672498</v>
      </c>
    </row>
    <row r="11" spans="1:14" x14ac:dyDescent="0.45">
      <c r="A11" s="1" t="s">
        <v>6</v>
      </c>
      <c r="B11" s="6">
        <v>15911120</v>
      </c>
      <c r="C11" s="6">
        <v>2967382</v>
      </c>
      <c r="D11" s="6">
        <v>16323908</v>
      </c>
      <c r="E11" s="6">
        <v>35202410</v>
      </c>
      <c r="F11" s="13">
        <f t="shared" si="2"/>
        <v>1</v>
      </c>
      <c r="G11" s="13">
        <f t="shared" si="3"/>
        <v>1</v>
      </c>
      <c r="H11" s="13">
        <f t="shared" si="0"/>
        <v>1</v>
      </c>
      <c r="I11" s="13">
        <f t="shared" si="0"/>
        <v>1</v>
      </c>
      <c r="K11" s="1" t="s">
        <v>6</v>
      </c>
      <c r="L11" s="16">
        <f t="shared" si="4"/>
        <v>0.45198950867284371</v>
      </c>
      <c r="M11" s="16">
        <f t="shared" si="1"/>
        <v>8.4294853676211368E-2</v>
      </c>
      <c r="N11" s="16">
        <f t="shared" si="1"/>
        <v>0.46371563765094492</v>
      </c>
    </row>
  </sheetData>
  <mergeCells count="2">
    <mergeCell ref="B1:I1"/>
    <mergeCell ref="K1:N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EB07-8F14-4393-9524-AA501CB901AB}">
  <dimension ref="A1:P26"/>
  <sheetViews>
    <sheetView tabSelected="1" workbookViewId="0">
      <selection activeCell="G8" sqref="G8"/>
    </sheetView>
  </sheetViews>
  <sheetFormatPr baseColWidth="10" defaultRowHeight="14.25" x14ac:dyDescent="0.45"/>
  <cols>
    <col min="1" max="1" width="24.86328125" customWidth="1"/>
    <col min="2" max="2" width="12.06640625" bestFit="1" customWidth="1"/>
    <col min="3" max="3" width="10.73046875" bestFit="1" customWidth="1"/>
    <col min="4" max="5" width="12.06640625" bestFit="1" customWidth="1"/>
  </cols>
  <sheetData>
    <row r="1" spans="1:16" x14ac:dyDescent="0.45">
      <c r="A1" s="8" t="s">
        <v>20</v>
      </c>
      <c r="B1" s="8"/>
      <c r="C1" s="8"/>
      <c r="D1" s="8"/>
      <c r="E1" s="8"/>
      <c r="I1" s="11" t="s">
        <v>42</v>
      </c>
      <c r="J1" s="11"/>
      <c r="K1" s="11"/>
      <c r="L1" s="11"/>
      <c r="M1" s="11" t="s">
        <v>43</v>
      </c>
      <c r="N1" s="11"/>
      <c r="O1" s="11"/>
      <c r="P1" s="11"/>
    </row>
    <row r="2" spans="1:16" x14ac:dyDescent="0.45">
      <c r="A2" s="7" t="s">
        <v>0</v>
      </c>
      <c r="B2" s="7" t="s">
        <v>1</v>
      </c>
      <c r="C2" s="7" t="s">
        <v>2</v>
      </c>
      <c r="D2" s="7" t="s">
        <v>3</v>
      </c>
      <c r="E2" s="7" t="s">
        <v>4</v>
      </c>
      <c r="H2" s="7" t="s">
        <v>0</v>
      </c>
      <c r="I2" s="7" t="s">
        <v>1</v>
      </c>
      <c r="J2" s="7" t="s">
        <v>2</v>
      </c>
      <c r="K2" s="7" t="s">
        <v>3</v>
      </c>
      <c r="L2" s="7" t="s">
        <v>4</v>
      </c>
      <c r="M2" s="7" t="s">
        <v>1</v>
      </c>
      <c r="N2" s="7" t="s">
        <v>2</v>
      </c>
      <c r="O2" s="7" t="s">
        <v>3</v>
      </c>
      <c r="P2" s="7" t="s">
        <v>4</v>
      </c>
    </row>
    <row r="3" spans="1:16" x14ac:dyDescent="0.45">
      <c r="A3" s="2">
        <v>2019</v>
      </c>
      <c r="B3" s="3">
        <v>3306924</v>
      </c>
      <c r="C3" s="3">
        <v>369632</v>
      </c>
      <c r="D3" s="3">
        <v>2544348</v>
      </c>
      <c r="E3" s="3">
        <v>6220904</v>
      </c>
      <c r="H3" s="2">
        <v>2019</v>
      </c>
      <c r="I3" s="9">
        <f>B3/$E3</f>
        <v>0.53158254813126837</v>
      </c>
      <c r="J3" s="9">
        <f t="shared" ref="J3:L7" si="0">C3/$E3</f>
        <v>5.9417730927852283E-2</v>
      </c>
      <c r="K3" s="9">
        <f t="shared" si="0"/>
        <v>0.40899972094087933</v>
      </c>
      <c r="L3" s="9">
        <f>E3/$E3</f>
        <v>1</v>
      </c>
      <c r="M3" s="9"/>
      <c r="N3" s="9"/>
      <c r="O3" s="9"/>
      <c r="P3" s="9"/>
    </row>
    <row r="4" spans="1:16" x14ac:dyDescent="0.45">
      <c r="A4" s="2">
        <v>2020</v>
      </c>
      <c r="B4" s="3">
        <v>3313625</v>
      </c>
      <c r="C4" s="3">
        <v>370374</v>
      </c>
      <c r="D4" s="3">
        <v>2460436</v>
      </c>
      <c r="E4" s="3">
        <v>6144435</v>
      </c>
      <c r="H4" s="2">
        <v>2020</v>
      </c>
      <c r="I4" s="9">
        <f t="shared" ref="I4:I7" si="1">B4/$E4</f>
        <v>0.53928880360846843</v>
      </c>
      <c r="J4" s="9">
        <f t="shared" si="0"/>
        <v>6.0277958835922262E-2</v>
      </c>
      <c r="K4" s="9">
        <f t="shared" si="0"/>
        <v>0.40043323755560928</v>
      </c>
      <c r="L4" s="9">
        <f t="shared" si="0"/>
        <v>1</v>
      </c>
      <c r="M4" s="10">
        <f>B4/B3-1</f>
        <v>2.0263544006453582E-3</v>
      </c>
      <c r="N4" s="10">
        <f t="shared" ref="N4:P7" si="2">C4/C3-1</f>
        <v>2.0074019565405887E-3</v>
      </c>
      <c r="O4" s="10">
        <f t="shared" si="2"/>
        <v>-3.2979765346564216E-2</v>
      </c>
      <c r="P4" s="10">
        <f t="shared" si="2"/>
        <v>-1.2292264918410623E-2</v>
      </c>
    </row>
    <row r="5" spans="1:16" x14ac:dyDescent="0.45">
      <c r="A5" s="2">
        <v>2021</v>
      </c>
      <c r="B5" s="3">
        <v>3691682</v>
      </c>
      <c r="C5" s="3">
        <v>407195</v>
      </c>
      <c r="D5" s="3">
        <v>2798390</v>
      </c>
      <c r="E5" s="3">
        <v>6897267</v>
      </c>
      <c r="H5" s="2">
        <v>2021</v>
      </c>
      <c r="I5" s="9">
        <f t="shared" si="1"/>
        <v>0.53523837775165151</v>
      </c>
      <c r="J5" s="9">
        <f t="shared" si="0"/>
        <v>5.903715196178428E-2</v>
      </c>
      <c r="K5" s="9">
        <f t="shared" si="0"/>
        <v>0.40572447028656422</v>
      </c>
      <c r="L5" s="9">
        <f t="shared" si="0"/>
        <v>1</v>
      </c>
      <c r="M5" s="10">
        <f t="shared" ref="M5:M7" si="3">B5/B4-1</f>
        <v>0.11409166698102524</v>
      </c>
      <c r="N5" s="10">
        <f t="shared" si="2"/>
        <v>9.941572572588786E-2</v>
      </c>
      <c r="O5" s="10">
        <f t="shared" si="2"/>
        <v>0.13735533051865612</v>
      </c>
      <c r="P5" s="10">
        <f t="shared" si="2"/>
        <v>0.12252257530594757</v>
      </c>
    </row>
    <row r="6" spans="1:16" x14ac:dyDescent="0.45">
      <c r="A6" s="2">
        <v>2022</v>
      </c>
      <c r="B6" s="3">
        <v>3963845</v>
      </c>
      <c r="C6" s="3">
        <v>447382</v>
      </c>
      <c r="D6" s="3">
        <v>3202171</v>
      </c>
      <c r="E6" s="3">
        <v>7613398</v>
      </c>
      <c r="H6" s="2">
        <v>2022</v>
      </c>
      <c r="I6" s="9">
        <f t="shared" si="1"/>
        <v>0.52064071785029498</v>
      </c>
      <c r="J6" s="9">
        <f t="shared" si="0"/>
        <v>5.8762460599064967E-2</v>
      </c>
      <c r="K6" s="9">
        <f t="shared" si="0"/>
        <v>0.42059682155064004</v>
      </c>
      <c r="L6" s="9">
        <f t="shared" si="0"/>
        <v>1</v>
      </c>
      <c r="M6" s="10">
        <f t="shared" si="3"/>
        <v>7.3723305528482719E-2</v>
      </c>
      <c r="N6" s="10">
        <f t="shared" si="2"/>
        <v>9.8692272744016929E-2</v>
      </c>
      <c r="O6" s="10">
        <f t="shared" si="2"/>
        <v>0.14429046701853565</v>
      </c>
      <c r="P6" s="10">
        <f t="shared" si="2"/>
        <v>0.10382822645549328</v>
      </c>
    </row>
    <row r="7" spans="1:16" x14ac:dyDescent="0.45">
      <c r="A7" s="2">
        <v>2023</v>
      </c>
      <c r="B7" s="3">
        <v>4197489</v>
      </c>
      <c r="C7" s="3">
        <v>480201</v>
      </c>
      <c r="D7" s="3">
        <v>3396363</v>
      </c>
      <c r="E7" s="3">
        <v>8074053</v>
      </c>
      <c r="H7" s="2">
        <v>2023</v>
      </c>
      <c r="I7" s="9">
        <f t="shared" si="1"/>
        <v>0.51987384774412548</v>
      </c>
      <c r="J7" s="9">
        <f t="shared" si="0"/>
        <v>5.9474591013955441E-2</v>
      </c>
      <c r="K7" s="9">
        <f t="shared" si="0"/>
        <v>0.42065156124191905</v>
      </c>
      <c r="L7" s="9">
        <f t="shared" si="0"/>
        <v>1</v>
      </c>
      <c r="M7" s="10">
        <f t="shared" si="3"/>
        <v>5.8943778074066921E-2</v>
      </c>
      <c r="N7" s="10">
        <f t="shared" si="2"/>
        <v>7.3357891019307786E-2</v>
      </c>
      <c r="O7" s="10">
        <f t="shared" si="2"/>
        <v>6.0643856933311868E-2</v>
      </c>
      <c r="P7" s="10">
        <f t="shared" si="2"/>
        <v>6.0505834582665896E-2</v>
      </c>
    </row>
    <row r="10" spans="1:16" x14ac:dyDescent="0.45">
      <c r="A10" s="8" t="s">
        <v>37</v>
      </c>
      <c r="B10" s="8"/>
      <c r="C10" s="8"/>
      <c r="D10" s="8"/>
    </row>
    <row r="11" spans="1:16" x14ac:dyDescent="0.45">
      <c r="A11" s="7" t="s">
        <v>21</v>
      </c>
      <c r="B11" s="7" t="s">
        <v>1</v>
      </c>
      <c r="C11" s="7" t="s">
        <v>2</v>
      </c>
      <c r="D11" s="7" t="s">
        <v>3</v>
      </c>
    </row>
    <row r="12" spans="1:16" x14ac:dyDescent="0.45">
      <c r="A12" s="5" t="s">
        <v>22</v>
      </c>
      <c r="B12" s="12">
        <v>5.8999999999999997E-2</v>
      </c>
      <c r="C12" s="12">
        <v>1.9E-2</v>
      </c>
      <c r="D12" s="12">
        <v>7.0000000000000001E-3</v>
      </c>
    </row>
    <row r="13" spans="1:16" x14ac:dyDescent="0.45">
      <c r="A13" s="5" t="s">
        <v>23</v>
      </c>
      <c r="B13" s="12">
        <v>4.7E-2</v>
      </c>
      <c r="C13" s="12">
        <v>4.5999999999999999E-2</v>
      </c>
      <c r="D13" s="12">
        <v>3.5999999999999997E-2</v>
      </c>
    </row>
    <row r="14" spans="1:16" x14ac:dyDescent="0.45">
      <c r="A14" s="5" t="s">
        <v>24</v>
      </c>
      <c r="B14" s="12">
        <v>4.1000000000000002E-2</v>
      </c>
      <c r="C14" s="12">
        <v>4.9000000000000002E-2</v>
      </c>
      <c r="D14" s="12">
        <v>5.8999999999999997E-2</v>
      </c>
    </row>
    <row r="15" spans="1:16" x14ac:dyDescent="0.45">
      <c r="A15" s="5" t="s">
        <v>25</v>
      </c>
      <c r="B15" s="12">
        <v>7.5999999999999998E-2</v>
      </c>
      <c r="C15" s="12">
        <v>0.10100000000000001</v>
      </c>
      <c r="D15" s="12">
        <v>0.09</v>
      </c>
    </row>
    <row r="16" spans="1:16" x14ac:dyDescent="0.45">
      <c r="A16" s="5" t="s">
        <v>26</v>
      </c>
      <c r="B16" s="12">
        <v>0.188</v>
      </c>
      <c r="C16" s="12">
        <v>0.155</v>
      </c>
      <c r="D16" s="12">
        <v>0.188</v>
      </c>
    </row>
    <row r="17" spans="1:4" x14ac:dyDescent="0.45">
      <c r="A17" s="5" t="s">
        <v>27</v>
      </c>
      <c r="B17" s="12">
        <v>7.4999999999999997E-2</v>
      </c>
      <c r="C17" s="12">
        <v>3.2000000000000001E-2</v>
      </c>
      <c r="D17" s="12">
        <v>3.9E-2</v>
      </c>
    </row>
    <row r="18" spans="1:4" x14ac:dyDescent="0.45">
      <c r="A18" s="5" t="s">
        <v>28</v>
      </c>
      <c r="B18" s="12">
        <v>0.1</v>
      </c>
      <c r="C18" s="12">
        <v>0.109</v>
      </c>
      <c r="D18" s="12">
        <v>0.113</v>
      </c>
    </row>
    <row r="19" spans="1:4" x14ac:dyDescent="0.45">
      <c r="A19" s="5" t="s">
        <v>29</v>
      </c>
      <c r="B19" s="12">
        <v>7.0000000000000001E-3</v>
      </c>
      <c r="C19" s="12">
        <v>8.7999999999999995E-2</v>
      </c>
      <c r="D19" s="12">
        <v>7.0000000000000001E-3</v>
      </c>
    </row>
    <row r="20" spans="1:4" x14ac:dyDescent="0.45">
      <c r="A20" s="5" t="s">
        <v>30</v>
      </c>
      <c r="B20" s="12">
        <v>0.122</v>
      </c>
      <c r="C20" s="12">
        <v>0.10199999999999999</v>
      </c>
      <c r="D20" s="12">
        <v>0.129</v>
      </c>
    </row>
    <row r="21" spans="1:4" x14ac:dyDescent="0.45">
      <c r="A21" s="5" t="s">
        <v>31</v>
      </c>
      <c r="B21" s="12">
        <v>0.06</v>
      </c>
      <c r="C21" s="12">
        <v>6.9000000000000006E-2</v>
      </c>
      <c r="D21" s="12">
        <v>6.2E-2</v>
      </c>
    </row>
    <row r="22" spans="1:4" x14ac:dyDescent="0.45">
      <c r="A22" s="5" t="s">
        <v>32</v>
      </c>
      <c r="B22" s="12">
        <v>3.3000000000000002E-2</v>
      </c>
      <c r="C22" s="12">
        <v>3.6999999999999998E-2</v>
      </c>
      <c r="D22" s="12">
        <v>5.5E-2</v>
      </c>
    </row>
    <row r="23" spans="1:4" x14ac:dyDescent="0.45">
      <c r="A23" s="5" t="s">
        <v>33</v>
      </c>
      <c r="B23" s="12">
        <v>1.4E-2</v>
      </c>
      <c r="C23" s="12">
        <v>1.4999999999999999E-2</v>
      </c>
      <c r="D23" s="12">
        <v>1.7999999999999999E-2</v>
      </c>
    </row>
    <row r="24" spans="1:4" x14ac:dyDescent="0.45">
      <c r="A24" s="5" t="s">
        <v>34</v>
      </c>
      <c r="B24" s="12">
        <v>5.3999999999999999E-2</v>
      </c>
      <c r="C24" s="12">
        <v>6.7000000000000004E-2</v>
      </c>
      <c r="D24" s="12">
        <v>8.7999999999999995E-2</v>
      </c>
    </row>
    <row r="25" spans="1:4" x14ac:dyDescent="0.45">
      <c r="A25" s="5" t="s">
        <v>35</v>
      </c>
      <c r="B25" s="12">
        <v>0.106</v>
      </c>
      <c r="C25" s="12">
        <v>8.6999999999999994E-2</v>
      </c>
      <c r="D25" s="12">
        <v>0.09</v>
      </c>
    </row>
    <row r="26" spans="1:4" x14ac:dyDescent="0.45">
      <c r="A26" s="5" t="s">
        <v>36</v>
      </c>
      <c r="B26" s="12">
        <v>1.7999999999999999E-2</v>
      </c>
      <c r="C26" s="12">
        <v>2.4E-2</v>
      </c>
      <c r="D26" s="12">
        <v>1.9E-2</v>
      </c>
    </row>
  </sheetData>
  <mergeCells count="4">
    <mergeCell ref="A1:E1"/>
    <mergeCell ref="A10:D10"/>
    <mergeCell ref="I1:L1"/>
    <mergeCell ref="M1:P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Population</vt:lpstr>
      <vt:lpstr>Logement</vt:lpstr>
      <vt:lpstr>Economie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Kaboré</dc:creator>
  <cp:lastModifiedBy>Jonathan Kaboré</cp:lastModifiedBy>
  <dcterms:created xsi:type="dcterms:W3CDTF">2015-06-05T18:17:20Z</dcterms:created>
  <dcterms:modified xsi:type="dcterms:W3CDTF">2025-12-18T14:55:34Z</dcterms:modified>
</cp:coreProperties>
</file>